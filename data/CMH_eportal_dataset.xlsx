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se_Dataset" sheetId="2" state="visible" r:id="rId4"/>
    <sheet name="Summary" sheetId="3" state="visible" r:id="rId5"/>
    <sheet name="Real_Case_Sources" sheetId="4" state="visible" r:id="rId6"/>
    <sheet name="Real_Cases_Template" sheetId="5" state="visible" r:id="rId7"/>
  </sheets>
  <definedNames>
    <definedName function="false" hidden="true" localSheetId="1" name="_xlnm._FilterDatabase" vbProcedure="false">Case_Dataset!$A$1:$U$126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<sst xmlns="http://schemas.openxmlformats.org/spreadsheetml/2006/main" count="1970" uniqueCount="388">
  <si>
    <t xml:space="preserve">Dataset: e-Portal for Case Management Hearing (Pre-Trial Conference) — Indian Courts</t>
  </si>
  <si>
    <t xml:space="preserve">Total: 125 records across 5 categories (matches your recommended distribution).</t>
  </si>
  <si>
    <t xml:space="preserve">IMPORTANT — Data Type column = 'Synthetic'. These records are generated for prototyping the portal, testing workflows and ML pipelines.</t>
  </si>
  <si>
    <t xml:space="preserve">They are NOT real court cases. Do not present them as real judgments or cite them as such in the paper.</t>
  </si>
  <si>
    <t xml:space="preserve">Case IDs are SYN-xxx placeholders; party names are fictional.</t>
  </si>
  <si>
    <t xml:space="preserve">How to use for the paper:</t>
  </si>
  <si>
    <t xml:space="preserve">1. Use 'Case_Dataset' to build/test the portal (case listing, CMH scheduling, ADR referral, priority tracks).</t>
  </si>
  <si>
    <t xml:space="preserve">2. Collect real cases from the sources in 'Real_Case_Sources' (Indian Kanoon, eCourts, NJDG, MP High Court) and fill 'Real_Cases_Template'.</t>
  </si>
  <si>
    <t xml:space="preserve">3. In the paper, state clearly: synthetic data for system testing; real data for evaluation (train/test 80/20).</t>
  </si>
  <si>
    <t xml:space="preserve">Columns in blue = generated inputs; 'Days: Filing to CMH' is a formula.</t>
  </si>
  <si>
    <t xml:space="preserve">Case ID</t>
  </si>
  <si>
    <t xml:space="preserve">Category</t>
  </si>
  <si>
    <t xml:space="preserve">Statute / Provision</t>
  </si>
  <si>
    <t xml:space="preserve">Court</t>
  </si>
  <si>
    <t xml:space="preserve">Filing Date</t>
  </si>
  <si>
    <t xml:space="preserve">Plaintiff / Complainant</t>
  </si>
  <si>
    <t xml:space="preserve">Plaintiff Type</t>
  </si>
  <si>
    <t xml:space="preserve">Defendant / Accused</t>
  </si>
  <si>
    <t xml:space="preserve">Defendant Type</t>
  </si>
  <si>
    <t xml:space="preserve">Claim Value (INR)</t>
  </si>
  <si>
    <t xml:space="preserve">Current Stage</t>
  </si>
  <si>
    <t xml:space="preserve">CMH Date</t>
  </si>
  <si>
    <t xml:space="preserve">Days: Filing to CMH</t>
  </si>
  <si>
    <t xml:space="preserve">Issues Framed at CMH</t>
  </si>
  <si>
    <t xml:space="preserve">Adjournments Before CMH</t>
  </si>
  <si>
    <t xml:space="preserve">ADR Referred at CMH</t>
  </si>
  <si>
    <t xml:space="preserve">ADR Mode</t>
  </si>
  <si>
    <t xml:space="preserve">Hearing Mode</t>
  </si>
  <si>
    <t xml:space="preserve">Priority Track</t>
  </si>
  <si>
    <t xml:space="preserve">Case Status</t>
  </si>
  <si>
    <t xml:space="preserve">Data Type</t>
  </si>
  <si>
    <t xml:space="preserve">SYN-COM-001</t>
  </si>
  <si>
    <t xml:space="preserve">Commercial Disputes</t>
  </si>
  <si>
    <t xml:space="preserve">Commercial Courts Act, 2015 / Order XV-A CPC</t>
  </si>
  <si>
    <t xml:space="preserve">District Court, Indore</t>
  </si>
  <si>
    <t xml:space="preserve">M/s Gateway Finance (Synthetic)</t>
  </si>
  <si>
    <t xml:space="preserve">LLP</t>
  </si>
  <si>
    <t xml:space="preserve">M/s Sunrise Enterprises (Synthetic)</t>
  </si>
  <si>
    <t xml:space="preserve">Individual</t>
  </si>
  <si>
    <t xml:space="preserve">Summons issued</t>
  </si>
  <si>
    <t xml:space="preserve">Yes</t>
  </si>
  <si>
    <t xml:space="preserve">Mediation</t>
  </si>
  <si>
    <t xml:space="preserve">Physical</t>
  </si>
  <si>
    <t xml:space="preserve">Fast Track</t>
  </si>
  <si>
    <t xml:space="preserve">Pending</t>
  </si>
  <si>
    <t xml:space="preserve">Synthetic</t>
  </si>
  <si>
    <t xml:space="preserve">SYN-COM-002</t>
  </si>
  <si>
    <t xml:space="preserve">District Court, Bhopal</t>
  </si>
  <si>
    <t xml:space="preserve">M/s Malwa Motors (Synthetic)</t>
  </si>
  <si>
    <t xml:space="preserve">M/s Vindhya Traders (Synthetic)</t>
  </si>
  <si>
    <t xml:space="preserve">Partnership Firm</t>
  </si>
  <si>
    <t xml:space="preserve">Arguments</t>
  </si>
  <si>
    <t xml:space="preserve">Arbitration</t>
  </si>
  <si>
    <t xml:space="preserve">Virtual</t>
  </si>
  <si>
    <t xml:space="preserve">Slow Track</t>
  </si>
  <si>
    <t xml:space="preserve">SYN-COM-003</t>
  </si>
  <si>
    <t xml:space="preserve">MP High Court, Indore Bench</t>
  </si>
  <si>
    <t xml:space="preserve">M/s Heritage Textiles (Synthetic)</t>
  </si>
  <si>
    <t xml:space="preserve">Public Ltd Company</t>
  </si>
  <si>
    <t xml:space="preserve">Issues framed</t>
  </si>
  <si>
    <t xml:space="preserve">Lok Adalat</t>
  </si>
  <si>
    <t xml:space="preserve">Disposed</t>
  </si>
  <si>
    <t xml:space="preserve">SYN-COM-004</t>
  </si>
  <si>
    <t xml:space="preserve">Commercial Court, Indore</t>
  </si>
  <si>
    <t xml:space="preserve">M/s Pioneer Industries (Synthetic)</t>
  </si>
  <si>
    <t xml:space="preserve">Private Ltd Company</t>
  </si>
  <si>
    <t xml:space="preserve">M/s Gateway Infra (Synthetic)</t>
  </si>
  <si>
    <t xml:space="preserve">Proprietorship</t>
  </si>
  <si>
    <t xml:space="preserve">No</t>
  </si>
  <si>
    <t xml:space="preserve">N/A</t>
  </si>
  <si>
    <t xml:space="preserve">SYN-COM-005</t>
  </si>
  <si>
    <t xml:space="preserve">M/s Malwa Builders (Synthetic)</t>
  </si>
  <si>
    <t xml:space="preserve">M/s Pioneer Builders (Synthetic)</t>
  </si>
  <si>
    <t xml:space="preserve">Negotiation</t>
  </si>
  <si>
    <t xml:space="preserve">Hybrid</t>
  </si>
  <si>
    <t xml:space="preserve">SYN-COM-006</t>
  </si>
  <si>
    <t xml:space="preserve">District Court, Ujjain</t>
  </si>
  <si>
    <t xml:space="preserve">M/s Omkar Infra (Synthetic)</t>
  </si>
  <si>
    <t xml:space="preserve">M/s Shree Traders (Synthetic)</t>
  </si>
  <si>
    <t xml:space="preserve">SYN-COM-007</t>
  </si>
  <si>
    <t xml:space="preserve">M/s Apex Builders (Synthetic)</t>
  </si>
  <si>
    <t xml:space="preserve">Written statement filed</t>
  </si>
  <si>
    <t xml:space="preserve">SYN-COM-008</t>
  </si>
  <si>
    <t xml:space="preserve">M/s Shree Infra (Synthetic)</t>
  </si>
  <si>
    <t xml:space="preserve">M/s Omkar Motors (Synthetic)</t>
  </si>
  <si>
    <t xml:space="preserve">Settled via ADR</t>
  </si>
  <si>
    <t xml:space="preserve">SYN-COM-009</t>
  </si>
  <si>
    <t xml:space="preserve">M/s Surya Motors (Synthetic)</t>
  </si>
  <si>
    <t xml:space="preserve">M/s Vindhya Agro (Synthetic)</t>
  </si>
  <si>
    <t xml:space="preserve">SYN-COM-010</t>
  </si>
  <si>
    <t xml:space="preserve">M/s Kisan Traders (Synthetic)</t>
  </si>
  <si>
    <t xml:space="preserve">M/s Orbit Finance (Synthetic)</t>
  </si>
  <si>
    <t xml:space="preserve">Evidence stage</t>
  </si>
  <si>
    <t xml:space="preserve">SYN-COM-011</t>
  </si>
  <si>
    <t xml:space="preserve">District Court, Gwalior</t>
  </si>
  <si>
    <t xml:space="preserve">M/s Narmada Agro (Synthetic)</t>
  </si>
  <si>
    <t xml:space="preserve">M/s Orbit Traders (Synthetic)</t>
  </si>
  <si>
    <t xml:space="preserve">Case Management Hearing</t>
  </si>
  <si>
    <t xml:space="preserve">SYN-COM-012</t>
  </si>
  <si>
    <t xml:space="preserve">M/s Heritage Industries (Synthetic)</t>
  </si>
  <si>
    <t xml:space="preserve">M/s Ganga Logistics (Synthetic)</t>
  </si>
  <si>
    <t xml:space="preserve">SYN-COM-013</t>
  </si>
  <si>
    <t xml:space="preserve">MP High Court, Jabalpur</t>
  </si>
  <si>
    <t xml:space="preserve">M/s Ganga Finance (Synthetic)</t>
  </si>
  <si>
    <t xml:space="preserve">M/s Malwa Finance (Synthetic)</t>
  </si>
  <si>
    <t xml:space="preserve">SYN-COM-014</t>
  </si>
  <si>
    <t xml:space="preserve">M/s Malwa Enterprises (Synthetic)</t>
  </si>
  <si>
    <t xml:space="preserve">M/s Alpha Industries (Synthetic)</t>
  </si>
  <si>
    <t xml:space="preserve">Conciliation</t>
  </si>
  <si>
    <t xml:space="preserve">SYN-COM-015</t>
  </si>
  <si>
    <t xml:space="preserve">M/s Omkar Logistics (Synthetic)</t>
  </si>
  <si>
    <t xml:space="preserve">M/s Orbit Enterprises (Synthetic)</t>
  </si>
  <si>
    <t xml:space="preserve">SYN-COM-016</t>
  </si>
  <si>
    <t xml:space="preserve">M/s Heritage Finance (Synthetic)</t>
  </si>
  <si>
    <t xml:space="preserve">M/s Gateway Builders (Synthetic)</t>
  </si>
  <si>
    <t xml:space="preserve">SYN-COM-017</t>
  </si>
  <si>
    <t xml:space="preserve">M/s Narmada Foods (Synthetic)</t>
  </si>
  <si>
    <t xml:space="preserve">M/s Malwa Industries (Synthetic)</t>
  </si>
  <si>
    <t xml:space="preserve">SYN-COM-018</t>
  </si>
  <si>
    <t xml:space="preserve">M/s Narmada Pharma (Synthetic)</t>
  </si>
  <si>
    <t xml:space="preserve">M/s Kisan Infra (Synthetic)</t>
  </si>
  <si>
    <t xml:space="preserve">SYN-COM-019</t>
  </si>
  <si>
    <t xml:space="preserve">M/s Pioneer Finance (Synthetic)</t>
  </si>
  <si>
    <t xml:space="preserve">SYN-COM-020</t>
  </si>
  <si>
    <t xml:space="preserve">M/s Alpha Enterprises (Synthetic)</t>
  </si>
  <si>
    <t xml:space="preserve">M/s Omkar Agro (Synthetic)</t>
  </si>
  <si>
    <t xml:space="preserve">SYN-COM-021</t>
  </si>
  <si>
    <t xml:space="preserve">M/s Surya Enterprises (Synthetic)</t>
  </si>
  <si>
    <t xml:space="preserve">M/s Surya Industries (Synthetic)</t>
  </si>
  <si>
    <t xml:space="preserve">SYN-COM-022</t>
  </si>
  <si>
    <t xml:space="preserve">M/s Kisan Textiles (Synthetic)</t>
  </si>
  <si>
    <t xml:space="preserve">M/s Alpha Motors (Synthetic)</t>
  </si>
  <si>
    <t xml:space="preserve">SYN-COM-023</t>
  </si>
  <si>
    <t xml:space="preserve">M/s Shree Foods (Synthetic)</t>
  </si>
  <si>
    <t xml:space="preserve">M/s Kisan Agro (Synthetic)</t>
  </si>
  <si>
    <t xml:space="preserve">SYN-COM-024</t>
  </si>
  <si>
    <t xml:space="preserve">M/s Surya Infra (Synthetic)</t>
  </si>
  <si>
    <t xml:space="preserve">SYN-COM-025</t>
  </si>
  <si>
    <t xml:space="preserve">M/s Sunrise Builders (Synthetic)</t>
  </si>
  <si>
    <t xml:space="preserve">M/s Heritage Foods (Synthetic)</t>
  </si>
  <si>
    <t xml:space="preserve">SYN-COM-026</t>
  </si>
  <si>
    <t xml:space="preserve">SYN-COM-027</t>
  </si>
  <si>
    <t xml:space="preserve">M/s Heritage Traders (Synthetic)</t>
  </si>
  <si>
    <t xml:space="preserve">SYN-COM-028</t>
  </si>
  <si>
    <t xml:space="preserve">M/s Alpha Logistics (Synthetic)</t>
  </si>
  <si>
    <t xml:space="preserve">SYN-COM-029</t>
  </si>
  <si>
    <t xml:space="preserve">SYN-COM-030</t>
  </si>
  <si>
    <t xml:space="preserve">M/s Vindhya Textiles (Synthetic)</t>
  </si>
  <si>
    <t xml:space="preserve">M/s Omkar Pharma (Synthetic)</t>
  </si>
  <si>
    <t xml:space="preserve">SYN-CHQ-001</t>
  </si>
  <si>
    <t xml:space="preserve">Cheque Bounce</t>
  </si>
  <si>
    <t xml:space="preserve">Sections 138 &amp; 141, Negotiable Instruments Act, 1881</t>
  </si>
  <si>
    <t xml:space="preserve">M/s Ganga Textiles (Synthetic)</t>
  </si>
  <si>
    <t xml:space="preserve">M/s Surya Agro (Synthetic)</t>
  </si>
  <si>
    <t xml:space="preserve">Normal Track</t>
  </si>
  <si>
    <t xml:space="preserve">SYN-CHQ-002</t>
  </si>
  <si>
    <t xml:space="preserve">M/s Malwa Textiles (Synthetic)</t>
  </si>
  <si>
    <t xml:space="preserve">Complaint filed</t>
  </si>
  <si>
    <t xml:space="preserve">SYN-CHQ-003</t>
  </si>
  <si>
    <t xml:space="preserve">M/s Apex Textiles (Synthetic)</t>
  </si>
  <si>
    <t xml:space="preserve">M/s Pioneer Foods (Synthetic)</t>
  </si>
  <si>
    <t xml:space="preserve">SYN-CHQ-004</t>
  </si>
  <si>
    <t xml:space="preserve">M/s Alpha Foods (Synthetic)</t>
  </si>
  <si>
    <t xml:space="preserve">M/s Malwa Pharma (Synthetic)</t>
  </si>
  <si>
    <t xml:space="preserve">SYN-CHQ-005</t>
  </si>
  <si>
    <t xml:space="preserve">M/s Narmada Builders (Synthetic)</t>
  </si>
  <si>
    <t xml:space="preserve">Judgment reserved</t>
  </si>
  <si>
    <t xml:space="preserve">SYN-CHQ-006</t>
  </si>
  <si>
    <t xml:space="preserve">SYN-CHQ-007</t>
  </si>
  <si>
    <t xml:space="preserve">M/s Ganga Industries (Synthetic)</t>
  </si>
  <si>
    <t xml:space="preserve">M/s Malwa Logistics (Synthetic)</t>
  </si>
  <si>
    <t xml:space="preserve">SYN-CHQ-008</t>
  </si>
  <si>
    <t xml:space="preserve">M/s Surya Textiles (Synthetic)</t>
  </si>
  <si>
    <t xml:space="preserve">M/s Surya Finance (Synthetic)</t>
  </si>
  <si>
    <t xml:space="preserve">SYN-CHQ-009</t>
  </si>
  <si>
    <t xml:space="preserve">M/s Ganga Agro (Synthetic)</t>
  </si>
  <si>
    <t xml:space="preserve">SYN-CHQ-010</t>
  </si>
  <si>
    <t xml:space="preserve">M/s Apex Finance (Synthetic)</t>
  </si>
  <si>
    <t xml:space="preserve">M/s Pioneer Infra (Synthetic)</t>
  </si>
  <si>
    <t xml:space="preserve">SYN-CHQ-011</t>
  </si>
  <si>
    <t xml:space="preserve">M/s Pioneer Traders (Synthetic)</t>
  </si>
  <si>
    <t xml:space="preserve">M/s Apex Motors (Synthetic)</t>
  </si>
  <si>
    <t xml:space="preserve">Accused appeared</t>
  </si>
  <si>
    <t xml:space="preserve">SYN-CHQ-012</t>
  </si>
  <si>
    <t xml:space="preserve">M/s Gateway Pharma (Synthetic)</t>
  </si>
  <si>
    <t xml:space="preserve">SYN-CHQ-013</t>
  </si>
  <si>
    <t xml:space="preserve">M/s Apex Logistics (Synthetic)</t>
  </si>
  <si>
    <t xml:space="preserve">M/s Narmada Traders (Synthetic)</t>
  </si>
  <si>
    <t xml:space="preserve">SYN-CHQ-014</t>
  </si>
  <si>
    <t xml:space="preserve">M/s Apex Foods (Synthetic)</t>
  </si>
  <si>
    <t xml:space="preserve">SYN-CHQ-015</t>
  </si>
  <si>
    <t xml:space="preserve">M/s Malwa Infra (Synthetic)</t>
  </si>
  <si>
    <t xml:space="preserve">M/s Surya Logistics (Synthetic)</t>
  </si>
  <si>
    <t xml:space="preserve">SYN-CHQ-016</t>
  </si>
  <si>
    <t xml:space="preserve">SYN-CHQ-017</t>
  </si>
  <si>
    <t xml:space="preserve">M/s Sunrise Finance (Synthetic)</t>
  </si>
  <si>
    <t xml:space="preserve">SYN-CHQ-018</t>
  </si>
  <si>
    <t xml:space="preserve">M/s Alpha Pharma (Synthetic)</t>
  </si>
  <si>
    <t xml:space="preserve">M/s Sunrise Pharma (Synthetic)</t>
  </si>
  <si>
    <t xml:space="preserve">SYN-CHQ-019</t>
  </si>
  <si>
    <t xml:space="preserve">M/s Kisan Pharma (Synthetic)</t>
  </si>
  <si>
    <t xml:space="preserve">M/s Surya Foods (Synthetic)</t>
  </si>
  <si>
    <t xml:space="preserve">SYN-CHQ-020</t>
  </si>
  <si>
    <t xml:space="preserve">SYN-CHQ-021</t>
  </si>
  <si>
    <t xml:space="preserve">M/s Ganga Infra (Synthetic)</t>
  </si>
  <si>
    <t xml:space="preserve">SYN-CHQ-022</t>
  </si>
  <si>
    <t xml:space="preserve">M/s Shree Motors (Synthetic)</t>
  </si>
  <si>
    <t xml:space="preserve">M/s Omkar Textiles (Synthetic)</t>
  </si>
  <si>
    <t xml:space="preserve">SYN-CHQ-023</t>
  </si>
  <si>
    <t xml:space="preserve">SYN-CHQ-024</t>
  </si>
  <si>
    <t xml:space="preserve">M/s Shree Logistics (Synthetic)</t>
  </si>
  <si>
    <t xml:space="preserve">M/s Alpha Finance (Synthetic)</t>
  </si>
  <si>
    <t xml:space="preserve">SYN-CHQ-025</t>
  </si>
  <si>
    <t xml:space="preserve">M/s Kisan Industries (Synthetic)</t>
  </si>
  <si>
    <t xml:space="preserve">SYN-CHQ-026</t>
  </si>
  <si>
    <t xml:space="preserve">M/s Surya Builders (Synthetic)</t>
  </si>
  <si>
    <t xml:space="preserve">SYN-CHQ-027</t>
  </si>
  <si>
    <t xml:space="preserve">M/s Orbit Motors (Synthetic)</t>
  </si>
  <si>
    <t xml:space="preserve">SYN-CHQ-028</t>
  </si>
  <si>
    <t xml:space="preserve">M/s Gateway Industries (Synthetic)</t>
  </si>
  <si>
    <t xml:space="preserve">SYN-CHQ-029</t>
  </si>
  <si>
    <t xml:space="preserve">M/s Alpha Infra (Synthetic)</t>
  </si>
  <si>
    <t xml:space="preserve">SYN-CHQ-030</t>
  </si>
  <si>
    <t xml:space="preserve">M/s Orbit Foods (Synthetic)</t>
  </si>
  <si>
    <t xml:space="preserve">M/s Sunrise Traders (Synthetic)</t>
  </si>
  <si>
    <t xml:space="preserve">SYN-ARB-001</t>
  </si>
  <si>
    <t xml:space="preserve">Arbitration &amp; Conciliation Act, 1996 (Sec 9, 34)</t>
  </si>
  <si>
    <t xml:space="preserve">SYN-ARB-002</t>
  </si>
  <si>
    <t xml:space="preserve">M/s Alpha Builders (Synthetic)</t>
  </si>
  <si>
    <t xml:space="preserve">M/s Surya Traders (Synthetic)</t>
  </si>
  <si>
    <t xml:space="preserve">SYN-ARB-003</t>
  </si>
  <si>
    <t xml:space="preserve">M/s Shree Pharma (Synthetic)</t>
  </si>
  <si>
    <t xml:space="preserve">M/s Shree Builders (Synthetic)</t>
  </si>
  <si>
    <t xml:space="preserve">Notice issued</t>
  </si>
  <si>
    <t xml:space="preserve">SYN-ARB-004</t>
  </si>
  <si>
    <t xml:space="preserve">Petition filed</t>
  </si>
  <si>
    <t xml:space="preserve">SYN-ARB-005</t>
  </si>
  <si>
    <t xml:space="preserve">M/s Ganga Motors (Synthetic)</t>
  </si>
  <si>
    <t xml:space="preserve">Reply filed</t>
  </si>
  <si>
    <t xml:space="preserve">SYN-ARB-006</t>
  </si>
  <si>
    <t xml:space="preserve">M/s Pioneer Logistics (Synthetic)</t>
  </si>
  <si>
    <t xml:space="preserve">M/s Omkar Traders (Synthetic)</t>
  </si>
  <si>
    <t xml:space="preserve">SYN-ARB-007</t>
  </si>
  <si>
    <t xml:space="preserve">M/s Omkar Finance (Synthetic)</t>
  </si>
  <si>
    <t xml:space="preserve">SYN-ARB-008</t>
  </si>
  <si>
    <t xml:space="preserve">M/s Vindhya Pharma (Synthetic)</t>
  </si>
  <si>
    <t xml:space="preserve">M/s Orbit Agro (Synthetic)</t>
  </si>
  <si>
    <t xml:space="preserve">SYN-ARB-009</t>
  </si>
  <si>
    <t xml:space="preserve">M/s Shree Agro (Synthetic)</t>
  </si>
  <si>
    <t xml:space="preserve">SYN-ARB-010</t>
  </si>
  <si>
    <t xml:space="preserve">M/s Shree Finance (Synthetic)</t>
  </si>
  <si>
    <t xml:space="preserve">M/s Pioneer Pharma (Synthetic)</t>
  </si>
  <si>
    <t xml:space="preserve">SYN-ARB-011</t>
  </si>
  <si>
    <t xml:space="preserve">M/s Heritage Motors (Synthetic)</t>
  </si>
  <si>
    <t xml:space="preserve">SYN-ARB-012</t>
  </si>
  <si>
    <t xml:space="preserve">SYN-ARB-013</t>
  </si>
  <si>
    <t xml:space="preserve">SYN-ARB-014</t>
  </si>
  <si>
    <t xml:space="preserve">M/s Malwa Agro (Synthetic)</t>
  </si>
  <si>
    <t xml:space="preserve">SYN-ARB-015</t>
  </si>
  <si>
    <t xml:space="preserve">SYN-ARB-016</t>
  </si>
  <si>
    <t xml:space="preserve">M/s Sunrise Motors (Synthetic)</t>
  </si>
  <si>
    <t xml:space="preserve">SYN-ARB-017</t>
  </si>
  <si>
    <t xml:space="preserve">M/s Vindhya Finance (Synthetic)</t>
  </si>
  <si>
    <t xml:space="preserve">SYN-ARB-018</t>
  </si>
  <si>
    <t xml:space="preserve">SYN-ARB-019</t>
  </si>
  <si>
    <t xml:space="preserve">M/s Gateway Traders (Synthetic)</t>
  </si>
  <si>
    <t xml:space="preserve">SYN-ARB-020</t>
  </si>
  <si>
    <t xml:space="preserve">M/s Orbit Textiles (Synthetic)</t>
  </si>
  <si>
    <t xml:space="preserve">SYN-ARB-021</t>
  </si>
  <si>
    <t xml:space="preserve">M/s Narmada Infra (Synthetic)</t>
  </si>
  <si>
    <t xml:space="preserve">SYN-ARB-022</t>
  </si>
  <si>
    <t xml:space="preserve">M/s Gateway Foods (Synthetic)</t>
  </si>
  <si>
    <t xml:space="preserve">SYN-ARB-023</t>
  </si>
  <si>
    <t xml:space="preserve">M/s Gateway Motors (Synthetic)</t>
  </si>
  <si>
    <t xml:space="preserve">M/s Vindhya Builders (Synthetic)</t>
  </si>
  <si>
    <t xml:space="preserve">SYN-ARB-024</t>
  </si>
  <si>
    <t xml:space="preserve">SYN-ARB-025</t>
  </si>
  <si>
    <t xml:space="preserve">SYN-CTR-001</t>
  </si>
  <si>
    <t xml:space="preserve">Contract Breach</t>
  </si>
  <si>
    <t xml:space="preserve">Indian Contract Act, 1872</t>
  </si>
  <si>
    <t xml:space="preserve">M/s Vindhya Infra (Synthetic)</t>
  </si>
  <si>
    <t xml:space="preserve">SYN-CTR-002</t>
  </si>
  <si>
    <t xml:space="preserve">M/s Heritage Agro (Synthetic)</t>
  </si>
  <si>
    <t xml:space="preserve">SYN-CTR-003</t>
  </si>
  <si>
    <t xml:space="preserve">M/s Vindhya Logistics (Synthetic)</t>
  </si>
  <si>
    <t xml:space="preserve">Plaint filed</t>
  </si>
  <si>
    <t xml:space="preserve">SYN-CTR-004</t>
  </si>
  <si>
    <t xml:space="preserve">M/s Omkar Industries (Synthetic)</t>
  </si>
  <si>
    <t xml:space="preserve">SYN-CTR-005</t>
  </si>
  <si>
    <t xml:space="preserve">M/s Vindhya Motors (Synthetic)</t>
  </si>
  <si>
    <t xml:space="preserve">M/s Alpha Traders (Synthetic)</t>
  </si>
  <si>
    <t xml:space="preserve">SYN-CTR-006</t>
  </si>
  <si>
    <t xml:space="preserve">SYN-CTR-007</t>
  </si>
  <si>
    <t xml:space="preserve">SYN-CTR-008</t>
  </si>
  <si>
    <t xml:space="preserve">SYN-CTR-009</t>
  </si>
  <si>
    <t xml:space="preserve">SYN-CTR-010</t>
  </si>
  <si>
    <t xml:space="preserve">SYN-CTR-011</t>
  </si>
  <si>
    <t xml:space="preserve">M/s Vindhya Enterprises (Synthetic)</t>
  </si>
  <si>
    <t xml:space="preserve">M/s Ganga Pharma (Synthetic)</t>
  </si>
  <si>
    <t xml:space="preserve">SYN-CTR-012</t>
  </si>
  <si>
    <t xml:space="preserve">M/s Heritage Logistics (Synthetic)</t>
  </si>
  <si>
    <t xml:space="preserve">SYN-CTR-013</t>
  </si>
  <si>
    <t xml:space="preserve">SYN-CTR-014</t>
  </si>
  <si>
    <t xml:space="preserve">SYN-CTR-015</t>
  </si>
  <si>
    <t xml:space="preserve">M/s Omkar Builders (Synthetic)</t>
  </si>
  <si>
    <t xml:space="preserve">SYN-CTR-016</t>
  </si>
  <si>
    <t xml:space="preserve">SYN-CTR-017</t>
  </si>
  <si>
    <t xml:space="preserve">M/s Apex Traders (Synthetic)</t>
  </si>
  <si>
    <t xml:space="preserve">SYN-CTR-018</t>
  </si>
  <si>
    <t xml:space="preserve">M/s Alpha Textiles (Synthetic)</t>
  </si>
  <si>
    <t xml:space="preserve">M/s Ganga Enterprises (Synthetic)</t>
  </si>
  <si>
    <t xml:space="preserve">SYN-CTR-019</t>
  </si>
  <si>
    <t xml:space="preserve">SYN-CTR-020</t>
  </si>
  <si>
    <t xml:space="preserve">M/s Sunrise Logistics (Synthetic)</t>
  </si>
  <si>
    <t xml:space="preserve">SYN-CTR-021</t>
  </si>
  <si>
    <t xml:space="preserve">M/s Kisan Builders (Synthetic)</t>
  </si>
  <si>
    <t xml:space="preserve">SYN-CTR-022</t>
  </si>
  <si>
    <t xml:space="preserve">SYN-CTR-023</t>
  </si>
  <si>
    <t xml:space="preserve">SYN-CTR-024</t>
  </si>
  <si>
    <t xml:space="preserve">SYN-CTR-025</t>
  </si>
  <si>
    <t xml:space="preserve">SYN-CIV-001</t>
  </si>
  <si>
    <t xml:space="preserve">Civil Suits</t>
  </si>
  <si>
    <t xml:space="preserve">Specific Relief Act, 1963 / CPC</t>
  </si>
  <si>
    <t xml:space="preserve">SYN-CIV-002</t>
  </si>
  <si>
    <t xml:space="preserve">M/s Narmada Enterprises (Synthetic)</t>
  </si>
  <si>
    <t xml:space="preserve">M/s Sunrise Foods (Synthetic)</t>
  </si>
  <si>
    <t xml:space="preserve">SYN-CIV-003</t>
  </si>
  <si>
    <t xml:space="preserve">SYN-CIV-004</t>
  </si>
  <si>
    <t xml:space="preserve">SYN-CIV-005</t>
  </si>
  <si>
    <t xml:space="preserve">M/s Pioneer Motors (Synthetic)</t>
  </si>
  <si>
    <t xml:space="preserve">SYN-CIV-006</t>
  </si>
  <si>
    <t xml:space="preserve">SYN-CIV-007</t>
  </si>
  <si>
    <t xml:space="preserve">SYN-CIV-008</t>
  </si>
  <si>
    <t xml:space="preserve">M/s Heritage Pharma (Synthetic)</t>
  </si>
  <si>
    <t xml:space="preserve">M/s Orbit Infra (Synthetic)</t>
  </si>
  <si>
    <t xml:space="preserve">SYN-CIV-009</t>
  </si>
  <si>
    <t xml:space="preserve">M/s Malwa Traders (Synthetic)</t>
  </si>
  <si>
    <t xml:space="preserve">M/s Orbit Industries (Synthetic)</t>
  </si>
  <si>
    <t xml:space="preserve">SYN-CIV-010</t>
  </si>
  <si>
    <t xml:space="preserve">M/s Kisan Enterprises (Synthetic)</t>
  </si>
  <si>
    <t xml:space="preserve">SYN-CIV-011</t>
  </si>
  <si>
    <t xml:space="preserve">M/s Ganga Foods (Synthetic)</t>
  </si>
  <si>
    <t xml:space="preserve">M/s Vindhya Industries (Synthetic)</t>
  </si>
  <si>
    <t xml:space="preserve">SYN-CIV-012</t>
  </si>
  <si>
    <t xml:space="preserve">SYN-CIV-013</t>
  </si>
  <si>
    <t xml:space="preserve">M/s Sunrise Agro (Synthetic)</t>
  </si>
  <si>
    <t xml:space="preserve">SYN-CIV-014</t>
  </si>
  <si>
    <t xml:space="preserve">M/s Shree Industries (Synthetic)</t>
  </si>
  <si>
    <t xml:space="preserve">SYN-CIV-015</t>
  </si>
  <si>
    <t xml:space="preserve">Target Count</t>
  </si>
  <si>
    <t xml:space="preserve">Actual Count</t>
  </si>
  <si>
    <t xml:space="preserve">Avg Claim Value (INR)</t>
  </si>
  <si>
    <t xml:space="preserve">Avg Days Filing to CMH</t>
  </si>
  <si>
    <t xml:space="preserve">ADR Referred (%)</t>
  </si>
  <si>
    <t xml:space="preserve">TOTAL</t>
  </si>
  <si>
    <t xml:space="preserve">Target Real Cases</t>
  </si>
  <si>
    <t xml:space="preserve">Primary Statute</t>
  </si>
  <si>
    <t xml:space="preserve">Search Query (Indian Kanoon / eCourts)</t>
  </si>
  <si>
    <t xml:space="preserve">Where to Search</t>
  </si>
  <si>
    <t xml:space="preserve">"Order XV-A" commercial suit delay</t>
  </si>
  <si>
    <t xml:space="preserve">indiankanoon.org; services.ecourts.gov.in; mphc.gov.in; sci.gov.in</t>
  </si>
  <si>
    <t xml:space="preserve">"Section 138" "Negotiable Instruments" Indore</t>
  </si>
  <si>
    <t xml:space="preserve">"Section 34" "Arbitration" commercial division</t>
  </si>
  <si>
    <t xml:space="preserve">"breach of contract" "liquidated damages"</t>
  </si>
  <si>
    <t xml:space="preserve">"specific performance" "commercial property"</t>
  </si>
  <si>
    <t xml:space="preserve">Bulk datasets (optional)</t>
  </si>
  <si>
    <t xml:space="preserve">Development Data Lab – Judicial Data (80M+ cases, 2010–2022, CSV)</t>
  </si>
  <si>
    <t xml:space="preserve">devdatalab.org/judicial-data</t>
  </si>
  <si>
    <t xml:space="preserve">Hugging Face – ILDC corpus (~34k judgments)</t>
  </si>
  <si>
    <t xml:space="preserve">huggingface.co/datasets/ildc</t>
  </si>
  <si>
    <t xml:space="preserve">Kaggle – Indian Court Cases</t>
  </si>
  <si>
    <t xml:space="preserve">kaggle.com (search 'Indian Court Cases')</t>
  </si>
  <si>
    <t xml:space="preserve">Case No. (real)</t>
  </si>
  <si>
    <t xml:space="preserve">Filing Year</t>
  </si>
  <si>
    <t xml:space="preserve">Parties</t>
  </si>
  <si>
    <t xml:space="preserve">Statute / Section</t>
  </si>
  <si>
    <t xml:space="preserve">Stage / Outcome</t>
  </si>
  <si>
    <t xml:space="preserve">CMH / Pre-trial Directions</t>
  </si>
  <si>
    <t xml:space="preserve">Source URL</t>
  </si>
  <si>
    <t xml:space="preserve">Collected On</t>
  </si>
  <si>
    <t xml:space="preserve">EXAMPLE: CS (COMM) 123/2022</t>
  </si>
  <si>
    <t xml:space="preserve">MP High Court, Indore</t>
  </si>
  <si>
    <t xml:space="preserve">2022</t>
  </si>
  <si>
    <t xml:space="preserve">A v. B</t>
  </si>
  <si>
    <t xml:space="preserve">Order XV-A CPC</t>
  </si>
  <si>
    <t xml:space="preserve">Issues framed; ADR referred</t>
  </si>
  <si>
    <t xml:space="preserve">indiankanoon.org/doc/XXXXX</t>
  </si>
  <si>
    <t xml:space="preserve">26-Oct-2026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</si>
</sst>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General"/>
    <numFmt numFmtId="168" formatCode="0.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1"/>
  </cols>
  <sheetData>
    <row r="1" customFormat="false" ht="52.2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</row>
    <row r="2" customFormat="false" ht="15" hidden="false" customHeight="false" outlineLevel="0" collapsed="false">
      <c r="A2" s="4" t="s">
        <v>31</v>
      </c>
      <c r="B2" s="4" t="s">
        <v>32</v>
      </c>
      <c r="C2" s="4" t="s">
        <v>33</v>
      </c>
      <c r="D2" s="4" t="s">
        <v>34</v>
      </c>
      <c r="E2" s="5" t="n">
        <v>45581</v>
      </c>
      <c r="F2" s="4" t="s">
        <v>35</v>
      </c>
      <c r="G2" s="4" t="s">
        <v>36</v>
      </c>
      <c r="H2" s="4" t="s">
        <v>37</v>
      </c>
      <c r="I2" s="4" t="s">
        <v>38</v>
      </c>
      <c r="J2" s="6" t="n">
        <v>1738000</v>
      </c>
      <c r="K2" s="4" t="s">
        <v>39</v>
      </c>
      <c r="L2" s="5" t="n">
        <v>45639</v>
      </c>
      <c r="M2" s="7" t="n">
        <f aca="false">L2-E2</f>
        <v>58</v>
      </c>
      <c r="N2" s="4" t="n">
        <v>2</v>
      </c>
      <c r="O2" s="4" t="n">
        <v>1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</row>
    <row r="3" customFormat="false" ht="15" hidden="false" customHeight="false" outlineLevel="0" collapsed="false">
      <c r="A3" s="4" t="s">
        <v>46</v>
      </c>
      <c r="B3" s="4" t="s">
        <v>32</v>
      </c>
      <c r="C3" s="4" t="s">
        <v>33</v>
      </c>
      <c r="D3" s="4" t="s">
        <v>47</v>
      </c>
      <c r="E3" s="5" t="n">
        <v>45444</v>
      </c>
      <c r="F3" s="4" t="s">
        <v>48</v>
      </c>
      <c r="G3" s="4" t="s">
        <v>36</v>
      </c>
      <c r="H3" s="4" t="s">
        <v>49</v>
      </c>
      <c r="I3" s="4" t="s">
        <v>50</v>
      </c>
      <c r="J3" s="6" t="n">
        <v>1814000</v>
      </c>
      <c r="K3" s="4" t="s">
        <v>51</v>
      </c>
      <c r="L3" s="5" t="n">
        <v>45628</v>
      </c>
      <c r="M3" s="7" t="n">
        <f aca="false">L3-E3</f>
        <v>184</v>
      </c>
      <c r="N3" s="4" t="n">
        <v>8</v>
      </c>
      <c r="O3" s="4" t="n">
        <v>5</v>
      </c>
      <c r="P3" s="4" t="s">
        <v>40</v>
      </c>
      <c r="Q3" s="4" t="s">
        <v>52</v>
      </c>
      <c r="R3" s="4" t="s">
        <v>53</v>
      </c>
      <c r="S3" s="4" t="s">
        <v>54</v>
      </c>
      <c r="T3" s="4" t="s">
        <v>44</v>
      </c>
      <c r="U3" s="4" t="s">
        <v>45</v>
      </c>
    </row>
    <row r="4" customFormat="false" ht="15" hidden="false" customHeight="false" outlineLevel="0" collapsed="false">
      <c r="A4" s="4" t="s">
        <v>55</v>
      </c>
      <c r="B4" s="4" t="s">
        <v>32</v>
      </c>
      <c r="C4" s="4" t="s">
        <v>33</v>
      </c>
      <c r="D4" s="4" t="s">
        <v>56</v>
      </c>
      <c r="E4" s="5" t="n">
        <v>45147</v>
      </c>
      <c r="F4" s="4" t="s">
        <v>57</v>
      </c>
      <c r="G4" s="4" t="s">
        <v>36</v>
      </c>
      <c r="H4" s="4" t="s">
        <v>49</v>
      </c>
      <c r="I4" s="4" t="s">
        <v>58</v>
      </c>
      <c r="J4" s="6" t="n">
        <v>17161000</v>
      </c>
      <c r="K4" s="4" t="s">
        <v>59</v>
      </c>
      <c r="L4" s="5" t="n">
        <v>45372</v>
      </c>
      <c r="M4" s="7" t="n">
        <f aca="false">L4-E4</f>
        <v>225</v>
      </c>
      <c r="N4" s="4" t="n">
        <v>3</v>
      </c>
      <c r="O4" s="4" t="n">
        <v>0</v>
      </c>
      <c r="P4" s="4" t="s">
        <v>40</v>
      </c>
      <c r="Q4" s="4" t="s">
        <v>60</v>
      </c>
      <c r="R4" s="4" t="s">
        <v>42</v>
      </c>
      <c r="S4" s="4" t="s">
        <v>43</v>
      </c>
      <c r="T4" s="4" t="s">
        <v>61</v>
      </c>
      <c r="U4" s="4" t="s">
        <v>45</v>
      </c>
    </row>
    <row r="5" customFormat="false" ht="15" hidden="false" customHeight="false" outlineLevel="0" collapsed="false">
      <c r="A5" s="4" t="s">
        <v>62</v>
      </c>
      <c r="B5" s="4" t="s">
        <v>32</v>
      </c>
      <c r="C5" s="4" t="s">
        <v>33</v>
      </c>
      <c r="D5" s="4" t="s">
        <v>63</v>
      </c>
      <c r="E5" s="5" t="n">
        <v>45227</v>
      </c>
      <c r="F5" s="4" t="s">
        <v>64</v>
      </c>
      <c r="G5" s="4" t="s">
        <v>65</v>
      </c>
      <c r="H5" s="4" t="s">
        <v>66</v>
      </c>
      <c r="I5" s="4" t="s">
        <v>67</v>
      </c>
      <c r="J5" s="6" t="n">
        <v>31117000</v>
      </c>
      <c r="K5" s="4" t="s">
        <v>39</v>
      </c>
      <c r="L5" s="5" t="n">
        <v>45417</v>
      </c>
      <c r="M5" s="7" t="n">
        <f aca="false">L5-E5</f>
        <v>190</v>
      </c>
      <c r="N5" s="4" t="n">
        <v>5</v>
      </c>
      <c r="O5" s="4" t="n">
        <v>4</v>
      </c>
      <c r="P5" s="4" t="s">
        <v>68</v>
      </c>
      <c r="Q5" s="4" t="s">
        <v>69</v>
      </c>
      <c r="R5" s="4" t="s">
        <v>42</v>
      </c>
      <c r="S5" s="4" t="s">
        <v>43</v>
      </c>
      <c r="T5" s="4" t="s">
        <v>44</v>
      </c>
      <c r="U5" s="4" t="s">
        <v>45</v>
      </c>
    </row>
    <row r="6" customFormat="false" ht="15" hidden="false" customHeight="false" outlineLevel="0" collapsed="false">
      <c r="A6" s="4" t="s">
        <v>70</v>
      </c>
      <c r="B6" s="4" t="s">
        <v>32</v>
      </c>
      <c r="C6" s="4" t="s">
        <v>33</v>
      </c>
      <c r="D6" s="4" t="s">
        <v>56</v>
      </c>
      <c r="E6" s="5" t="n">
        <v>45211</v>
      </c>
      <c r="F6" s="4" t="s">
        <v>71</v>
      </c>
      <c r="G6" s="4" t="s">
        <v>67</v>
      </c>
      <c r="H6" s="4" t="s">
        <v>72</v>
      </c>
      <c r="I6" s="4" t="s">
        <v>58</v>
      </c>
      <c r="J6" s="6" t="n">
        <v>31966000</v>
      </c>
      <c r="K6" s="4" t="s">
        <v>39</v>
      </c>
      <c r="L6" s="5" t="n">
        <v>45357</v>
      </c>
      <c r="M6" s="7" t="n">
        <f aca="false">L6-E6</f>
        <v>146</v>
      </c>
      <c r="N6" s="4" t="n">
        <v>4</v>
      </c>
      <c r="O6" s="4" t="n">
        <v>2</v>
      </c>
      <c r="P6" s="4" t="s">
        <v>40</v>
      </c>
      <c r="Q6" s="4" t="s">
        <v>73</v>
      </c>
      <c r="R6" s="4" t="s">
        <v>74</v>
      </c>
      <c r="S6" s="4" t="s">
        <v>43</v>
      </c>
      <c r="T6" s="4" t="s">
        <v>44</v>
      </c>
      <c r="U6" s="4" t="s">
        <v>45</v>
      </c>
    </row>
    <row r="7" customFormat="false" ht="15" hidden="false" customHeight="false" outlineLevel="0" collapsed="false">
      <c r="A7" s="4" t="s">
        <v>75</v>
      </c>
      <c r="B7" s="4" t="s">
        <v>32</v>
      </c>
      <c r="C7" s="4" t="s">
        <v>33</v>
      </c>
      <c r="D7" s="4" t="s">
        <v>76</v>
      </c>
      <c r="E7" s="5" t="n">
        <v>45094</v>
      </c>
      <c r="F7" s="4" t="s">
        <v>77</v>
      </c>
      <c r="G7" s="4" t="s">
        <v>58</v>
      </c>
      <c r="H7" s="4" t="s">
        <v>78</v>
      </c>
      <c r="I7" s="4" t="s">
        <v>50</v>
      </c>
      <c r="J7" s="6" t="n">
        <v>19283000</v>
      </c>
      <c r="K7" s="4" t="s">
        <v>39</v>
      </c>
      <c r="L7" s="5" t="n">
        <v>45242</v>
      </c>
      <c r="M7" s="7" t="n">
        <f aca="false">L7-E7</f>
        <v>148</v>
      </c>
      <c r="N7" s="4" t="n">
        <v>7</v>
      </c>
      <c r="O7" s="4" t="n">
        <v>5</v>
      </c>
      <c r="P7" s="4" t="s">
        <v>68</v>
      </c>
      <c r="Q7" s="4" t="s">
        <v>69</v>
      </c>
      <c r="R7" s="4" t="s">
        <v>53</v>
      </c>
      <c r="S7" s="4" t="s">
        <v>43</v>
      </c>
      <c r="T7" s="4" t="s">
        <v>44</v>
      </c>
      <c r="U7" s="4" t="s">
        <v>45</v>
      </c>
    </row>
    <row r="8" customFormat="false" ht="15" hidden="false" customHeight="false" outlineLevel="0" collapsed="false">
      <c r="A8" s="4" t="s">
        <v>79</v>
      </c>
      <c r="B8" s="4" t="s">
        <v>32</v>
      </c>
      <c r="C8" s="4" t="s">
        <v>33</v>
      </c>
      <c r="D8" s="4" t="s">
        <v>56</v>
      </c>
      <c r="E8" s="5" t="n">
        <v>44994</v>
      </c>
      <c r="F8" s="4" t="s">
        <v>71</v>
      </c>
      <c r="G8" s="4" t="s">
        <v>38</v>
      </c>
      <c r="H8" s="4" t="s">
        <v>80</v>
      </c>
      <c r="I8" s="4" t="s">
        <v>38</v>
      </c>
      <c r="J8" s="6" t="n">
        <v>45700000</v>
      </c>
      <c r="K8" s="4" t="s">
        <v>81</v>
      </c>
      <c r="L8" s="5" t="n">
        <v>45078</v>
      </c>
      <c r="M8" s="7" t="n">
        <f aca="false">L8-E8</f>
        <v>84</v>
      </c>
      <c r="N8" s="4" t="n">
        <v>6</v>
      </c>
      <c r="O8" s="4" t="n">
        <v>5</v>
      </c>
      <c r="P8" s="4" t="s">
        <v>68</v>
      </c>
      <c r="Q8" s="4" t="s">
        <v>69</v>
      </c>
      <c r="R8" s="4" t="s">
        <v>42</v>
      </c>
      <c r="S8" s="4" t="s">
        <v>43</v>
      </c>
      <c r="T8" s="4" t="s">
        <v>44</v>
      </c>
      <c r="U8" s="4" t="s">
        <v>45</v>
      </c>
    </row>
    <row r="9" customFormat="false" ht="15" hidden="false" customHeight="false" outlineLevel="0" collapsed="false">
      <c r="A9" s="4" t="s">
        <v>82</v>
      </c>
      <c r="B9" s="4" t="s">
        <v>32</v>
      </c>
      <c r="C9" s="4" t="s">
        <v>33</v>
      </c>
      <c r="D9" s="4" t="s">
        <v>47</v>
      </c>
      <c r="E9" s="5" t="n">
        <v>45501</v>
      </c>
      <c r="F9" s="4" t="s">
        <v>83</v>
      </c>
      <c r="G9" s="4" t="s">
        <v>50</v>
      </c>
      <c r="H9" s="4" t="s">
        <v>84</v>
      </c>
      <c r="I9" s="4" t="s">
        <v>65</v>
      </c>
      <c r="J9" s="6" t="n">
        <v>13506000</v>
      </c>
      <c r="K9" s="4" t="s">
        <v>39</v>
      </c>
      <c r="L9" s="5" t="n">
        <v>45668</v>
      </c>
      <c r="M9" s="7" t="n">
        <f aca="false">L9-E9</f>
        <v>167</v>
      </c>
      <c r="N9" s="4" t="n">
        <v>3</v>
      </c>
      <c r="O9" s="4" t="n">
        <v>4</v>
      </c>
      <c r="P9" s="4" t="s">
        <v>68</v>
      </c>
      <c r="Q9" s="4" t="s">
        <v>69</v>
      </c>
      <c r="R9" s="4" t="s">
        <v>42</v>
      </c>
      <c r="S9" s="4" t="s">
        <v>43</v>
      </c>
      <c r="T9" s="4" t="s">
        <v>85</v>
      </c>
      <c r="U9" s="4" t="s">
        <v>45</v>
      </c>
    </row>
    <row r="10" customFormat="false" ht="15" hidden="false" customHeight="false" outlineLevel="0" collapsed="false">
      <c r="A10" s="4" t="s">
        <v>86</v>
      </c>
      <c r="B10" s="4" t="s">
        <v>32</v>
      </c>
      <c r="C10" s="4" t="s">
        <v>33</v>
      </c>
      <c r="D10" s="4" t="s">
        <v>47</v>
      </c>
      <c r="E10" s="5" t="n">
        <v>45090</v>
      </c>
      <c r="F10" s="4" t="s">
        <v>87</v>
      </c>
      <c r="G10" s="4" t="s">
        <v>36</v>
      </c>
      <c r="H10" s="4" t="s">
        <v>88</v>
      </c>
      <c r="I10" s="4" t="s">
        <v>65</v>
      </c>
      <c r="J10" s="6" t="n">
        <v>34184000</v>
      </c>
      <c r="K10" s="4" t="s">
        <v>51</v>
      </c>
      <c r="L10" s="5" t="n">
        <v>45322</v>
      </c>
      <c r="M10" s="7" t="n">
        <f aca="false">L10-E10</f>
        <v>232</v>
      </c>
      <c r="N10" s="4" t="n">
        <v>3</v>
      </c>
      <c r="O10" s="4" t="n">
        <v>3</v>
      </c>
      <c r="P10" s="4" t="s">
        <v>68</v>
      </c>
      <c r="Q10" s="4" t="s">
        <v>69</v>
      </c>
      <c r="R10" s="4" t="s">
        <v>74</v>
      </c>
      <c r="S10" s="4" t="s">
        <v>43</v>
      </c>
      <c r="T10" s="4" t="s">
        <v>61</v>
      </c>
      <c r="U10" s="4" t="s">
        <v>45</v>
      </c>
    </row>
    <row r="11" customFormat="false" ht="15" hidden="false" customHeight="false" outlineLevel="0" collapsed="false">
      <c r="A11" s="4" t="s">
        <v>89</v>
      </c>
      <c r="B11" s="4" t="s">
        <v>32</v>
      </c>
      <c r="C11" s="4" t="s">
        <v>33</v>
      </c>
      <c r="D11" s="4" t="s">
        <v>63</v>
      </c>
      <c r="E11" s="5" t="n">
        <v>45200</v>
      </c>
      <c r="F11" s="4" t="s">
        <v>90</v>
      </c>
      <c r="G11" s="4" t="s">
        <v>58</v>
      </c>
      <c r="H11" s="4" t="s">
        <v>91</v>
      </c>
      <c r="I11" s="4" t="s">
        <v>67</v>
      </c>
      <c r="J11" s="6" t="n">
        <v>32228000</v>
      </c>
      <c r="K11" s="4" t="s">
        <v>92</v>
      </c>
      <c r="L11" s="5" t="n">
        <v>45426</v>
      </c>
      <c r="M11" s="7" t="n">
        <f aca="false">L11-E11</f>
        <v>226</v>
      </c>
      <c r="N11" s="4" t="n">
        <v>4</v>
      </c>
      <c r="O11" s="4" t="n">
        <v>3</v>
      </c>
      <c r="P11" s="4" t="s">
        <v>40</v>
      </c>
      <c r="Q11" s="4" t="s">
        <v>73</v>
      </c>
      <c r="R11" s="4" t="s">
        <v>42</v>
      </c>
      <c r="S11" s="4" t="s">
        <v>43</v>
      </c>
      <c r="T11" s="4" t="s">
        <v>85</v>
      </c>
      <c r="U11" s="4" t="s">
        <v>45</v>
      </c>
    </row>
    <row r="12" customFormat="false" ht="15" hidden="false" customHeight="false" outlineLevel="0" collapsed="false">
      <c r="A12" s="4" t="s">
        <v>93</v>
      </c>
      <c r="B12" s="4" t="s">
        <v>32</v>
      </c>
      <c r="C12" s="4" t="s">
        <v>33</v>
      </c>
      <c r="D12" s="4" t="s">
        <v>94</v>
      </c>
      <c r="E12" s="5" t="n">
        <v>45232</v>
      </c>
      <c r="F12" s="4" t="s">
        <v>95</v>
      </c>
      <c r="G12" s="4" t="s">
        <v>36</v>
      </c>
      <c r="H12" s="4" t="s">
        <v>96</v>
      </c>
      <c r="I12" s="4" t="s">
        <v>36</v>
      </c>
      <c r="J12" s="6" t="n">
        <v>25629000</v>
      </c>
      <c r="K12" s="4" t="s">
        <v>97</v>
      </c>
      <c r="L12" s="5" t="n">
        <v>45425</v>
      </c>
      <c r="M12" s="7" t="n">
        <f aca="false">L12-E12</f>
        <v>193</v>
      </c>
      <c r="N12" s="4" t="n">
        <v>9</v>
      </c>
      <c r="O12" s="4" t="n">
        <v>2</v>
      </c>
      <c r="P12" s="4" t="s">
        <v>40</v>
      </c>
      <c r="Q12" s="4" t="s">
        <v>41</v>
      </c>
      <c r="R12" s="4" t="s">
        <v>42</v>
      </c>
      <c r="S12" s="4" t="s">
        <v>43</v>
      </c>
      <c r="T12" s="4" t="s">
        <v>44</v>
      </c>
      <c r="U12" s="4" t="s">
        <v>45</v>
      </c>
    </row>
    <row r="13" customFormat="false" ht="15" hidden="false" customHeight="false" outlineLevel="0" collapsed="false">
      <c r="A13" s="4" t="s">
        <v>98</v>
      </c>
      <c r="B13" s="4" t="s">
        <v>32</v>
      </c>
      <c r="C13" s="4" t="s">
        <v>33</v>
      </c>
      <c r="D13" s="4" t="s">
        <v>47</v>
      </c>
      <c r="E13" s="5" t="n">
        <v>45241</v>
      </c>
      <c r="F13" s="4" t="s">
        <v>99</v>
      </c>
      <c r="G13" s="4" t="s">
        <v>36</v>
      </c>
      <c r="H13" s="4" t="s">
        <v>100</v>
      </c>
      <c r="I13" s="4" t="s">
        <v>50</v>
      </c>
      <c r="J13" s="6" t="n">
        <v>3367000</v>
      </c>
      <c r="K13" s="4" t="s">
        <v>51</v>
      </c>
      <c r="L13" s="5" t="n">
        <v>45332</v>
      </c>
      <c r="M13" s="7" t="n">
        <f aca="false">L13-E13</f>
        <v>91</v>
      </c>
      <c r="N13" s="4" t="n">
        <v>9</v>
      </c>
      <c r="O13" s="4" t="n">
        <v>0</v>
      </c>
      <c r="P13" s="4" t="s">
        <v>68</v>
      </c>
      <c r="Q13" s="4" t="s">
        <v>69</v>
      </c>
      <c r="R13" s="4" t="s">
        <v>74</v>
      </c>
      <c r="S13" s="4" t="s">
        <v>43</v>
      </c>
      <c r="T13" s="4" t="s">
        <v>44</v>
      </c>
      <c r="U13" s="4" t="s">
        <v>45</v>
      </c>
    </row>
    <row r="14" customFormat="false" ht="15" hidden="false" customHeight="false" outlineLevel="0" collapsed="false">
      <c r="A14" s="4" t="s">
        <v>101</v>
      </c>
      <c r="B14" s="4" t="s">
        <v>32</v>
      </c>
      <c r="C14" s="4" t="s">
        <v>33</v>
      </c>
      <c r="D14" s="4" t="s">
        <v>102</v>
      </c>
      <c r="E14" s="5" t="n">
        <v>45198</v>
      </c>
      <c r="F14" s="4" t="s">
        <v>103</v>
      </c>
      <c r="G14" s="4" t="s">
        <v>58</v>
      </c>
      <c r="H14" s="4" t="s">
        <v>104</v>
      </c>
      <c r="I14" s="4" t="s">
        <v>67</v>
      </c>
      <c r="J14" s="6" t="n">
        <v>43685000</v>
      </c>
      <c r="K14" s="4" t="s">
        <v>59</v>
      </c>
      <c r="L14" s="5" t="n">
        <v>45363</v>
      </c>
      <c r="M14" s="7" t="n">
        <f aca="false">L14-E14</f>
        <v>165</v>
      </c>
      <c r="N14" s="4" t="n">
        <v>7</v>
      </c>
      <c r="O14" s="4" t="n">
        <v>1</v>
      </c>
      <c r="P14" s="4" t="s">
        <v>40</v>
      </c>
      <c r="Q14" s="4" t="s">
        <v>60</v>
      </c>
      <c r="R14" s="4" t="s">
        <v>74</v>
      </c>
      <c r="S14" s="4" t="s">
        <v>43</v>
      </c>
      <c r="T14" s="4" t="s">
        <v>44</v>
      </c>
      <c r="U14" s="4" t="s">
        <v>45</v>
      </c>
    </row>
    <row r="15" customFormat="false" ht="15" hidden="false" customHeight="false" outlineLevel="0" collapsed="false">
      <c r="A15" s="4" t="s">
        <v>105</v>
      </c>
      <c r="B15" s="4" t="s">
        <v>32</v>
      </c>
      <c r="C15" s="4" t="s">
        <v>33</v>
      </c>
      <c r="D15" s="4" t="s">
        <v>102</v>
      </c>
      <c r="E15" s="5" t="n">
        <v>45050</v>
      </c>
      <c r="F15" s="4" t="s">
        <v>106</v>
      </c>
      <c r="G15" s="4" t="s">
        <v>50</v>
      </c>
      <c r="H15" s="4" t="s">
        <v>107</v>
      </c>
      <c r="I15" s="4" t="s">
        <v>58</v>
      </c>
      <c r="J15" s="6" t="n">
        <v>11623000</v>
      </c>
      <c r="K15" s="4" t="s">
        <v>51</v>
      </c>
      <c r="L15" s="5" t="n">
        <v>45143</v>
      </c>
      <c r="M15" s="7" t="n">
        <f aca="false">L15-E15</f>
        <v>93</v>
      </c>
      <c r="N15" s="4" t="n">
        <v>2</v>
      </c>
      <c r="O15" s="4" t="n">
        <v>4</v>
      </c>
      <c r="P15" s="4" t="s">
        <v>40</v>
      </c>
      <c r="Q15" s="4" t="s">
        <v>108</v>
      </c>
      <c r="R15" s="4" t="s">
        <v>42</v>
      </c>
      <c r="S15" s="4" t="s">
        <v>43</v>
      </c>
      <c r="T15" s="4" t="s">
        <v>44</v>
      </c>
      <c r="U15" s="4" t="s">
        <v>45</v>
      </c>
    </row>
    <row r="16" customFormat="false" ht="15" hidden="false" customHeight="false" outlineLevel="0" collapsed="false">
      <c r="A16" s="4" t="s">
        <v>109</v>
      </c>
      <c r="B16" s="4" t="s">
        <v>32</v>
      </c>
      <c r="C16" s="4" t="s">
        <v>33</v>
      </c>
      <c r="D16" s="4" t="s">
        <v>63</v>
      </c>
      <c r="E16" s="5" t="n">
        <v>45265</v>
      </c>
      <c r="F16" s="4" t="s">
        <v>110</v>
      </c>
      <c r="G16" s="4" t="s">
        <v>58</v>
      </c>
      <c r="H16" s="4" t="s">
        <v>111</v>
      </c>
      <c r="I16" s="4" t="s">
        <v>36</v>
      </c>
      <c r="J16" s="6" t="n">
        <v>25951000</v>
      </c>
      <c r="K16" s="4" t="s">
        <v>59</v>
      </c>
      <c r="L16" s="5" t="n">
        <v>45313</v>
      </c>
      <c r="M16" s="7" t="n">
        <f aca="false">L16-E16</f>
        <v>48</v>
      </c>
      <c r="N16" s="4" t="n">
        <v>5</v>
      </c>
      <c r="O16" s="4" t="n">
        <v>3</v>
      </c>
      <c r="P16" s="4" t="s">
        <v>40</v>
      </c>
      <c r="Q16" s="4" t="s">
        <v>60</v>
      </c>
      <c r="R16" s="4" t="s">
        <v>53</v>
      </c>
      <c r="S16" s="4" t="s">
        <v>43</v>
      </c>
      <c r="T16" s="4" t="s">
        <v>44</v>
      </c>
      <c r="U16" s="4" t="s">
        <v>45</v>
      </c>
    </row>
    <row r="17" customFormat="false" ht="15" hidden="false" customHeight="false" outlineLevel="0" collapsed="false">
      <c r="A17" s="4" t="s">
        <v>112</v>
      </c>
      <c r="B17" s="4" t="s">
        <v>32</v>
      </c>
      <c r="C17" s="4" t="s">
        <v>33</v>
      </c>
      <c r="D17" s="4" t="s">
        <v>47</v>
      </c>
      <c r="E17" s="5" t="n">
        <v>45023</v>
      </c>
      <c r="F17" s="4" t="s">
        <v>113</v>
      </c>
      <c r="G17" s="4" t="s">
        <v>65</v>
      </c>
      <c r="H17" s="4" t="s">
        <v>114</v>
      </c>
      <c r="I17" s="4" t="s">
        <v>58</v>
      </c>
      <c r="J17" s="6" t="n">
        <v>33120000</v>
      </c>
      <c r="K17" s="4" t="s">
        <v>39</v>
      </c>
      <c r="L17" s="5" t="n">
        <v>45077</v>
      </c>
      <c r="M17" s="7" t="n">
        <f aca="false">L17-E17</f>
        <v>54</v>
      </c>
      <c r="N17" s="4" t="n">
        <v>2</v>
      </c>
      <c r="O17" s="4" t="n">
        <v>3</v>
      </c>
      <c r="P17" s="4" t="s">
        <v>40</v>
      </c>
      <c r="Q17" s="4" t="s">
        <v>60</v>
      </c>
      <c r="R17" s="4" t="s">
        <v>74</v>
      </c>
      <c r="S17" s="4" t="s">
        <v>43</v>
      </c>
      <c r="T17" s="4" t="s">
        <v>44</v>
      </c>
      <c r="U17" s="4" t="s">
        <v>45</v>
      </c>
    </row>
    <row r="18" customFormat="false" ht="15" hidden="false" customHeight="false" outlineLevel="0" collapsed="false">
      <c r="A18" s="4" t="s">
        <v>115</v>
      </c>
      <c r="B18" s="4" t="s">
        <v>32</v>
      </c>
      <c r="C18" s="4" t="s">
        <v>33</v>
      </c>
      <c r="D18" s="4" t="s">
        <v>47</v>
      </c>
      <c r="E18" s="5" t="n">
        <v>45038</v>
      </c>
      <c r="F18" s="4" t="s">
        <v>116</v>
      </c>
      <c r="G18" s="4" t="s">
        <v>38</v>
      </c>
      <c r="H18" s="4" t="s">
        <v>117</v>
      </c>
      <c r="I18" s="4" t="s">
        <v>38</v>
      </c>
      <c r="J18" s="6" t="n">
        <v>9984000</v>
      </c>
      <c r="K18" s="4" t="s">
        <v>92</v>
      </c>
      <c r="L18" s="5" t="n">
        <v>45131</v>
      </c>
      <c r="M18" s="7" t="n">
        <f aca="false">L18-E18</f>
        <v>93</v>
      </c>
      <c r="N18" s="4" t="n">
        <v>3</v>
      </c>
      <c r="O18" s="4" t="n">
        <v>1</v>
      </c>
      <c r="P18" s="4" t="s">
        <v>68</v>
      </c>
      <c r="Q18" s="4" t="s">
        <v>69</v>
      </c>
      <c r="R18" s="4" t="s">
        <v>42</v>
      </c>
      <c r="S18" s="4" t="s">
        <v>43</v>
      </c>
      <c r="T18" s="4" t="s">
        <v>85</v>
      </c>
      <c r="U18" s="4" t="s">
        <v>45</v>
      </c>
    </row>
    <row r="19" customFormat="false" ht="15" hidden="false" customHeight="false" outlineLevel="0" collapsed="false">
      <c r="A19" s="4" t="s">
        <v>118</v>
      </c>
      <c r="B19" s="4" t="s">
        <v>32</v>
      </c>
      <c r="C19" s="4" t="s">
        <v>33</v>
      </c>
      <c r="D19" s="4" t="s">
        <v>63</v>
      </c>
      <c r="E19" s="5" t="n">
        <v>45480</v>
      </c>
      <c r="F19" s="4" t="s">
        <v>119</v>
      </c>
      <c r="G19" s="4" t="s">
        <v>38</v>
      </c>
      <c r="H19" s="4" t="s">
        <v>120</v>
      </c>
      <c r="I19" s="4" t="s">
        <v>38</v>
      </c>
      <c r="J19" s="6" t="n">
        <v>48465000</v>
      </c>
      <c r="K19" s="4" t="s">
        <v>39</v>
      </c>
      <c r="L19" s="5" t="n">
        <v>45513</v>
      </c>
      <c r="M19" s="7" t="n">
        <f aca="false">L19-E19</f>
        <v>33</v>
      </c>
      <c r="N19" s="4" t="n">
        <v>4</v>
      </c>
      <c r="O19" s="4" t="n">
        <v>6</v>
      </c>
      <c r="P19" s="4" t="s">
        <v>68</v>
      </c>
      <c r="Q19" s="4" t="s">
        <v>69</v>
      </c>
      <c r="R19" s="4" t="s">
        <v>53</v>
      </c>
      <c r="S19" s="4" t="s">
        <v>43</v>
      </c>
      <c r="T19" s="4" t="s">
        <v>44</v>
      </c>
      <c r="U19" s="4" t="s">
        <v>45</v>
      </c>
    </row>
    <row r="20" customFormat="false" ht="15" hidden="false" customHeight="false" outlineLevel="0" collapsed="false">
      <c r="A20" s="4" t="s">
        <v>121</v>
      </c>
      <c r="B20" s="4" t="s">
        <v>32</v>
      </c>
      <c r="C20" s="4" t="s">
        <v>33</v>
      </c>
      <c r="D20" s="4" t="s">
        <v>47</v>
      </c>
      <c r="E20" s="5" t="n">
        <v>45326</v>
      </c>
      <c r="F20" s="4" t="s">
        <v>122</v>
      </c>
      <c r="G20" s="4" t="s">
        <v>36</v>
      </c>
      <c r="H20" s="4" t="s">
        <v>35</v>
      </c>
      <c r="I20" s="4" t="s">
        <v>38</v>
      </c>
      <c r="J20" s="6" t="n">
        <v>46363000</v>
      </c>
      <c r="K20" s="4" t="s">
        <v>81</v>
      </c>
      <c r="L20" s="5" t="n">
        <v>45423</v>
      </c>
      <c r="M20" s="7" t="n">
        <f aca="false">L20-E20</f>
        <v>97</v>
      </c>
      <c r="N20" s="4" t="n">
        <v>5</v>
      </c>
      <c r="O20" s="4" t="n">
        <v>2</v>
      </c>
      <c r="P20" s="4" t="s">
        <v>68</v>
      </c>
      <c r="Q20" s="4" t="s">
        <v>69</v>
      </c>
      <c r="R20" s="4" t="s">
        <v>53</v>
      </c>
      <c r="S20" s="4" t="s">
        <v>43</v>
      </c>
      <c r="T20" s="4" t="s">
        <v>44</v>
      </c>
      <c r="U20" s="4" t="s">
        <v>45</v>
      </c>
    </row>
    <row r="21" customFormat="false" ht="15" hidden="false" customHeight="false" outlineLevel="0" collapsed="false">
      <c r="A21" s="4" t="s">
        <v>123</v>
      </c>
      <c r="B21" s="4" t="s">
        <v>32</v>
      </c>
      <c r="C21" s="4" t="s">
        <v>33</v>
      </c>
      <c r="D21" s="4" t="s">
        <v>34</v>
      </c>
      <c r="E21" s="5" t="n">
        <v>44986</v>
      </c>
      <c r="F21" s="4" t="s">
        <v>124</v>
      </c>
      <c r="G21" s="4" t="s">
        <v>38</v>
      </c>
      <c r="H21" s="4" t="s">
        <v>125</v>
      </c>
      <c r="I21" s="4" t="s">
        <v>50</v>
      </c>
      <c r="J21" s="6" t="n">
        <v>36919000</v>
      </c>
      <c r="K21" s="4" t="s">
        <v>39</v>
      </c>
      <c r="L21" s="5" t="n">
        <v>45164</v>
      </c>
      <c r="M21" s="7" t="n">
        <f aca="false">L21-E21</f>
        <v>178</v>
      </c>
      <c r="N21" s="4" t="n">
        <v>3</v>
      </c>
      <c r="O21" s="4" t="n">
        <v>2</v>
      </c>
      <c r="P21" s="4" t="s">
        <v>40</v>
      </c>
      <c r="Q21" s="4" t="s">
        <v>108</v>
      </c>
      <c r="R21" s="4" t="s">
        <v>42</v>
      </c>
      <c r="S21" s="4" t="s">
        <v>43</v>
      </c>
      <c r="T21" s="4" t="s">
        <v>61</v>
      </c>
      <c r="U21" s="4" t="s">
        <v>45</v>
      </c>
    </row>
    <row r="22" customFormat="false" ht="15" hidden="false" customHeight="false" outlineLevel="0" collapsed="false">
      <c r="A22" s="4" t="s">
        <v>126</v>
      </c>
      <c r="B22" s="4" t="s">
        <v>32</v>
      </c>
      <c r="C22" s="4" t="s">
        <v>33</v>
      </c>
      <c r="D22" s="4" t="s">
        <v>63</v>
      </c>
      <c r="E22" s="5" t="n">
        <v>44996</v>
      </c>
      <c r="F22" s="4" t="s">
        <v>127</v>
      </c>
      <c r="G22" s="4" t="s">
        <v>65</v>
      </c>
      <c r="H22" s="4" t="s">
        <v>128</v>
      </c>
      <c r="I22" s="4" t="s">
        <v>38</v>
      </c>
      <c r="J22" s="6" t="n">
        <v>43160000</v>
      </c>
      <c r="K22" s="4" t="s">
        <v>51</v>
      </c>
      <c r="L22" s="5" t="n">
        <v>45198</v>
      </c>
      <c r="M22" s="7" t="n">
        <f aca="false">L22-E22</f>
        <v>202</v>
      </c>
      <c r="N22" s="4" t="n">
        <v>7</v>
      </c>
      <c r="O22" s="4" t="n">
        <v>4</v>
      </c>
      <c r="P22" s="4" t="s">
        <v>40</v>
      </c>
      <c r="Q22" s="4" t="s">
        <v>52</v>
      </c>
      <c r="R22" s="4" t="s">
        <v>42</v>
      </c>
      <c r="S22" s="4" t="s">
        <v>43</v>
      </c>
      <c r="T22" s="4" t="s">
        <v>85</v>
      </c>
      <c r="U22" s="4" t="s">
        <v>45</v>
      </c>
    </row>
    <row r="23" customFormat="false" ht="15" hidden="false" customHeight="false" outlineLevel="0" collapsed="false">
      <c r="A23" s="4" t="s">
        <v>129</v>
      </c>
      <c r="B23" s="4" t="s">
        <v>32</v>
      </c>
      <c r="C23" s="4" t="s">
        <v>33</v>
      </c>
      <c r="D23" s="4" t="s">
        <v>56</v>
      </c>
      <c r="E23" s="5" t="n">
        <v>45248</v>
      </c>
      <c r="F23" s="4" t="s">
        <v>130</v>
      </c>
      <c r="G23" s="4" t="s">
        <v>65</v>
      </c>
      <c r="H23" s="4" t="s">
        <v>131</v>
      </c>
      <c r="I23" s="4" t="s">
        <v>36</v>
      </c>
      <c r="J23" s="6" t="n">
        <v>13648000</v>
      </c>
      <c r="K23" s="4" t="s">
        <v>92</v>
      </c>
      <c r="L23" s="5" t="n">
        <v>45339</v>
      </c>
      <c r="M23" s="7" t="n">
        <f aca="false">L23-E23</f>
        <v>91</v>
      </c>
      <c r="N23" s="4" t="n">
        <v>3</v>
      </c>
      <c r="O23" s="4" t="n">
        <v>5</v>
      </c>
      <c r="P23" s="4" t="s">
        <v>40</v>
      </c>
      <c r="Q23" s="4" t="s">
        <v>41</v>
      </c>
      <c r="R23" s="4" t="s">
        <v>74</v>
      </c>
      <c r="S23" s="4" t="s">
        <v>43</v>
      </c>
      <c r="T23" s="4" t="s">
        <v>44</v>
      </c>
      <c r="U23" s="4" t="s">
        <v>45</v>
      </c>
    </row>
    <row r="24" customFormat="false" ht="15" hidden="false" customHeight="false" outlineLevel="0" collapsed="false">
      <c r="A24" s="4" t="s">
        <v>132</v>
      </c>
      <c r="B24" s="4" t="s">
        <v>32</v>
      </c>
      <c r="C24" s="4" t="s">
        <v>33</v>
      </c>
      <c r="D24" s="4" t="s">
        <v>63</v>
      </c>
      <c r="E24" s="5" t="n">
        <v>45445</v>
      </c>
      <c r="F24" s="4" t="s">
        <v>133</v>
      </c>
      <c r="G24" s="4" t="s">
        <v>50</v>
      </c>
      <c r="H24" s="4" t="s">
        <v>134</v>
      </c>
      <c r="I24" s="4" t="s">
        <v>58</v>
      </c>
      <c r="J24" s="6" t="n">
        <v>7057000</v>
      </c>
      <c r="K24" s="4" t="s">
        <v>97</v>
      </c>
      <c r="L24" s="5" t="n">
        <v>45542</v>
      </c>
      <c r="M24" s="7" t="n">
        <f aca="false">L24-E24</f>
        <v>97</v>
      </c>
      <c r="N24" s="4" t="n">
        <v>2</v>
      </c>
      <c r="O24" s="4" t="n">
        <v>0</v>
      </c>
      <c r="P24" s="4" t="s">
        <v>40</v>
      </c>
      <c r="Q24" s="4" t="s">
        <v>73</v>
      </c>
      <c r="R24" s="4" t="s">
        <v>53</v>
      </c>
      <c r="S24" s="4" t="s">
        <v>43</v>
      </c>
      <c r="T24" s="4" t="s">
        <v>85</v>
      </c>
      <c r="U24" s="4" t="s">
        <v>45</v>
      </c>
    </row>
    <row r="25" customFormat="false" ht="15" hidden="false" customHeight="false" outlineLevel="0" collapsed="false">
      <c r="A25" s="4" t="s">
        <v>135</v>
      </c>
      <c r="B25" s="4" t="s">
        <v>32</v>
      </c>
      <c r="C25" s="4" t="s">
        <v>33</v>
      </c>
      <c r="D25" s="4" t="s">
        <v>102</v>
      </c>
      <c r="E25" s="5" t="n">
        <v>45033</v>
      </c>
      <c r="F25" s="4" t="s">
        <v>116</v>
      </c>
      <c r="G25" s="4" t="s">
        <v>67</v>
      </c>
      <c r="H25" s="4" t="s">
        <v>136</v>
      </c>
      <c r="I25" s="4" t="s">
        <v>58</v>
      </c>
      <c r="J25" s="6" t="n">
        <v>13591000</v>
      </c>
      <c r="K25" s="4" t="s">
        <v>97</v>
      </c>
      <c r="L25" s="5" t="n">
        <v>45097</v>
      </c>
      <c r="M25" s="7" t="n">
        <f aca="false">L25-E25</f>
        <v>64</v>
      </c>
      <c r="N25" s="4" t="n">
        <v>5</v>
      </c>
      <c r="O25" s="4" t="n">
        <v>5</v>
      </c>
      <c r="P25" s="4" t="s">
        <v>68</v>
      </c>
      <c r="Q25" s="4" t="s">
        <v>69</v>
      </c>
      <c r="R25" s="4" t="s">
        <v>74</v>
      </c>
      <c r="S25" s="4" t="s">
        <v>43</v>
      </c>
      <c r="T25" s="4" t="s">
        <v>85</v>
      </c>
      <c r="U25" s="4" t="s">
        <v>45</v>
      </c>
    </row>
    <row r="26" customFormat="false" ht="15" hidden="false" customHeight="false" outlineLevel="0" collapsed="false">
      <c r="A26" s="4" t="s">
        <v>137</v>
      </c>
      <c r="B26" s="4" t="s">
        <v>32</v>
      </c>
      <c r="C26" s="4" t="s">
        <v>33</v>
      </c>
      <c r="D26" s="4" t="s">
        <v>34</v>
      </c>
      <c r="E26" s="5" t="n">
        <v>45197</v>
      </c>
      <c r="F26" s="4" t="s">
        <v>138</v>
      </c>
      <c r="G26" s="4" t="s">
        <v>38</v>
      </c>
      <c r="H26" s="4" t="s">
        <v>139</v>
      </c>
      <c r="I26" s="4" t="s">
        <v>65</v>
      </c>
      <c r="J26" s="6" t="n">
        <v>24682000</v>
      </c>
      <c r="K26" s="4" t="s">
        <v>39</v>
      </c>
      <c r="L26" s="5" t="n">
        <v>45356</v>
      </c>
      <c r="M26" s="7" t="n">
        <f aca="false">L26-E26</f>
        <v>159</v>
      </c>
      <c r="N26" s="4" t="n">
        <v>7</v>
      </c>
      <c r="O26" s="4" t="n">
        <v>6</v>
      </c>
      <c r="P26" s="4" t="s">
        <v>68</v>
      </c>
      <c r="Q26" s="4" t="s">
        <v>69</v>
      </c>
      <c r="R26" s="4" t="s">
        <v>42</v>
      </c>
      <c r="S26" s="4" t="s">
        <v>43</v>
      </c>
      <c r="T26" s="4" t="s">
        <v>85</v>
      </c>
      <c r="U26" s="4" t="s">
        <v>45</v>
      </c>
    </row>
    <row r="27" customFormat="false" ht="15" hidden="false" customHeight="false" outlineLevel="0" collapsed="false">
      <c r="A27" s="4" t="s">
        <v>140</v>
      </c>
      <c r="B27" s="4" t="s">
        <v>32</v>
      </c>
      <c r="C27" s="4" t="s">
        <v>33</v>
      </c>
      <c r="D27" s="4" t="s">
        <v>102</v>
      </c>
      <c r="E27" s="5" t="n">
        <v>45195</v>
      </c>
      <c r="F27" s="4" t="s">
        <v>107</v>
      </c>
      <c r="G27" s="4" t="s">
        <v>65</v>
      </c>
      <c r="H27" s="4" t="s">
        <v>91</v>
      </c>
      <c r="I27" s="4" t="s">
        <v>50</v>
      </c>
      <c r="J27" s="6" t="n">
        <v>37191000</v>
      </c>
      <c r="K27" s="4" t="s">
        <v>92</v>
      </c>
      <c r="L27" s="5" t="n">
        <v>45266</v>
      </c>
      <c r="M27" s="7" t="n">
        <f aca="false">L27-E27</f>
        <v>71</v>
      </c>
      <c r="N27" s="4" t="n">
        <v>2</v>
      </c>
      <c r="O27" s="4" t="n">
        <v>3</v>
      </c>
      <c r="P27" s="4" t="s">
        <v>68</v>
      </c>
      <c r="Q27" s="4" t="s">
        <v>69</v>
      </c>
      <c r="R27" s="4" t="s">
        <v>53</v>
      </c>
      <c r="S27" s="4" t="s">
        <v>43</v>
      </c>
      <c r="T27" s="4" t="s">
        <v>61</v>
      </c>
      <c r="U27" s="4" t="s">
        <v>45</v>
      </c>
    </row>
    <row r="28" customFormat="false" ht="15" hidden="false" customHeight="false" outlineLevel="0" collapsed="false">
      <c r="A28" s="4" t="s">
        <v>141</v>
      </c>
      <c r="B28" s="4" t="s">
        <v>32</v>
      </c>
      <c r="C28" s="4" t="s">
        <v>33</v>
      </c>
      <c r="D28" s="4" t="s">
        <v>94</v>
      </c>
      <c r="E28" s="5" t="n">
        <v>45492</v>
      </c>
      <c r="F28" s="4" t="s">
        <v>142</v>
      </c>
      <c r="G28" s="4" t="s">
        <v>67</v>
      </c>
      <c r="H28" s="4" t="s">
        <v>71</v>
      </c>
      <c r="I28" s="4" t="s">
        <v>50</v>
      </c>
      <c r="J28" s="6" t="n">
        <v>21774000</v>
      </c>
      <c r="K28" s="4" t="s">
        <v>51</v>
      </c>
      <c r="L28" s="5" t="n">
        <v>45559</v>
      </c>
      <c r="M28" s="7" t="n">
        <f aca="false">L28-E28</f>
        <v>67</v>
      </c>
      <c r="N28" s="4" t="n">
        <v>3</v>
      </c>
      <c r="O28" s="4" t="n">
        <v>2</v>
      </c>
      <c r="P28" s="4" t="s">
        <v>40</v>
      </c>
      <c r="Q28" s="4" t="s">
        <v>52</v>
      </c>
      <c r="R28" s="4" t="s">
        <v>74</v>
      </c>
      <c r="S28" s="4" t="s">
        <v>43</v>
      </c>
      <c r="T28" s="4" t="s">
        <v>44</v>
      </c>
      <c r="U28" s="4" t="s">
        <v>45</v>
      </c>
    </row>
    <row r="29" customFormat="false" ht="15" hidden="false" customHeight="false" outlineLevel="0" collapsed="false">
      <c r="A29" s="4" t="s">
        <v>143</v>
      </c>
      <c r="B29" s="4" t="s">
        <v>32</v>
      </c>
      <c r="C29" s="4" t="s">
        <v>33</v>
      </c>
      <c r="D29" s="4" t="s">
        <v>63</v>
      </c>
      <c r="E29" s="5" t="n">
        <v>45562</v>
      </c>
      <c r="F29" s="4" t="s">
        <v>100</v>
      </c>
      <c r="G29" s="4" t="s">
        <v>38</v>
      </c>
      <c r="H29" s="4" t="s">
        <v>144</v>
      </c>
      <c r="I29" s="4" t="s">
        <v>58</v>
      </c>
      <c r="J29" s="6" t="n">
        <v>8150000</v>
      </c>
      <c r="K29" s="4" t="s">
        <v>97</v>
      </c>
      <c r="L29" s="5" t="n">
        <v>45783</v>
      </c>
      <c r="M29" s="7" t="n">
        <f aca="false">L29-E29</f>
        <v>221</v>
      </c>
      <c r="N29" s="4" t="n">
        <v>8</v>
      </c>
      <c r="O29" s="4" t="n">
        <v>6</v>
      </c>
      <c r="P29" s="4" t="s">
        <v>68</v>
      </c>
      <c r="Q29" s="4" t="s">
        <v>69</v>
      </c>
      <c r="R29" s="4" t="s">
        <v>74</v>
      </c>
      <c r="S29" s="4" t="s">
        <v>43</v>
      </c>
      <c r="T29" s="4" t="s">
        <v>85</v>
      </c>
      <c r="U29" s="4" t="s">
        <v>45</v>
      </c>
    </row>
    <row r="30" customFormat="false" ht="15" hidden="false" customHeight="false" outlineLevel="0" collapsed="false">
      <c r="A30" s="4" t="s">
        <v>145</v>
      </c>
      <c r="B30" s="4" t="s">
        <v>32</v>
      </c>
      <c r="C30" s="4" t="s">
        <v>33</v>
      </c>
      <c r="D30" s="4" t="s">
        <v>94</v>
      </c>
      <c r="E30" s="5" t="n">
        <v>45181</v>
      </c>
      <c r="F30" s="4" t="s">
        <v>131</v>
      </c>
      <c r="G30" s="4" t="s">
        <v>50</v>
      </c>
      <c r="H30" s="4" t="s">
        <v>48</v>
      </c>
      <c r="I30" s="4" t="s">
        <v>67</v>
      </c>
      <c r="J30" s="6" t="n">
        <v>8380000</v>
      </c>
      <c r="K30" s="4" t="s">
        <v>97</v>
      </c>
      <c r="L30" s="5" t="n">
        <v>45279</v>
      </c>
      <c r="M30" s="7" t="n">
        <f aca="false">L30-E30</f>
        <v>98</v>
      </c>
      <c r="N30" s="4" t="n">
        <v>5</v>
      </c>
      <c r="O30" s="4" t="n">
        <v>3</v>
      </c>
      <c r="P30" s="4" t="s">
        <v>68</v>
      </c>
      <c r="Q30" s="4" t="s">
        <v>69</v>
      </c>
      <c r="R30" s="4" t="s">
        <v>42</v>
      </c>
      <c r="S30" s="4" t="s">
        <v>43</v>
      </c>
      <c r="T30" s="4" t="s">
        <v>44</v>
      </c>
      <c r="U30" s="4" t="s">
        <v>45</v>
      </c>
    </row>
    <row r="31" customFormat="false" ht="15" hidden="false" customHeight="false" outlineLevel="0" collapsed="false">
      <c r="A31" s="4" t="s">
        <v>146</v>
      </c>
      <c r="B31" s="4" t="s">
        <v>32</v>
      </c>
      <c r="C31" s="4" t="s">
        <v>33</v>
      </c>
      <c r="D31" s="4" t="s">
        <v>94</v>
      </c>
      <c r="E31" s="5" t="n">
        <v>45602</v>
      </c>
      <c r="F31" s="4" t="s">
        <v>147</v>
      </c>
      <c r="G31" s="4" t="s">
        <v>58</v>
      </c>
      <c r="H31" s="4" t="s">
        <v>148</v>
      </c>
      <c r="I31" s="4" t="s">
        <v>58</v>
      </c>
      <c r="J31" s="6" t="n">
        <v>20224000</v>
      </c>
      <c r="K31" s="4" t="s">
        <v>92</v>
      </c>
      <c r="L31" s="5" t="n">
        <v>45681</v>
      </c>
      <c r="M31" s="7" t="n">
        <f aca="false">L31-E31</f>
        <v>79</v>
      </c>
      <c r="N31" s="4" t="n">
        <v>7</v>
      </c>
      <c r="O31" s="4" t="n">
        <v>0</v>
      </c>
      <c r="P31" s="4" t="s">
        <v>40</v>
      </c>
      <c r="Q31" s="4" t="s">
        <v>41</v>
      </c>
      <c r="R31" s="4" t="s">
        <v>42</v>
      </c>
      <c r="S31" s="4" t="s">
        <v>43</v>
      </c>
      <c r="T31" s="4" t="s">
        <v>44</v>
      </c>
      <c r="U31" s="4" t="s">
        <v>45</v>
      </c>
    </row>
    <row r="32" customFormat="false" ht="15" hidden="false" customHeight="false" outlineLevel="0" collapsed="false">
      <c r="A32" s="4" t="s">
        <v>149</v>
      </c>
      <c r="B32" s="4" t="s">
        <v>150</v>
      </c>
      <c r="C32" s="4" t="s">
        <v>151</v>
      </c>
      <c r="D32" s="4" t="s">
        <v>76</v>
      </c>
      <c r="E32" s="5" t="n">
        <v>45109</v>
      </c>
      <c r="F32" s="4" t="s">
        <v>152</v>
      </c>
      <c r="G32" s="4" t="s">
        <v>38</v>
      </c>
      <c r="H32" s="4" t="s">
        <v>153</v>
      </c>
      <c r="I32" s="4" t="s">
        <v>65</v>
      </c>
      <c r="J32" s="6" t="n">
        <v>115000</v>
      </c>
      <c r="K32" s="4" t="s">
        <v>97</v>
      </c>
      <c r="L32" s="5" t="n">
        <v>45196</v>
      </c>
      <c r="M32" s="7" t="n">
        <f aca="false">L32-E32</f>
        <v>87</v>
      </c>
      <c r="N32" s="4" t="n">
        <v>5</v>
      </c>
      <c r="O32" s="4" t="n">
        <v>2</v>
      </c>
      <c r="P32" s="4" t="s">
        <v>68</v>
      </c>
      <c r="Q32" s="4" t="s">
        <v>69</v>
      </c>
      <c r="R32" s="4" t="s">
        <v>53</v>
      </c>
      <c r="S32" s="4" t="s">
        <v>154</v>
      </c>
      <c r="T32" s="4" t="s">
        <v>44</v>
      </c>
      <c r="U32" s="4" t="s">
        <v>45</v>
      </c>
    </row>
    <row r="33" customFormat="false" ht="15" hidden="false" customHeight="false" outlineLevel="0" collapsed="false">
      <c r="A33" s="4" t="s">
        <v>155</v>
      </c>
      <c r="B33" s="4" t="s">
        <v>150</v>
      </c>
      <c r="C33" s="4" t="s">
        <v>151</v>
      </c>
      <c r="D33" s="4" t="s">
        <v>76</v>
      </c>
      <c r="E33" s="5" t="n">
        <v>45373</v>
      </c>
      <c r="F33" s="4" t="s">
        <v>122</v>
      </c>
      <c r="G33" s="4" t="s">
        <v>58</v>
      </c>
      <c r="H33" s="4" t="s">
        <v>156</v>
      </c>
      <c r="I33" s="4" t="s">
        <v>38</v>
      </c>
      <c r="J33" s="6" t="n">
        <v>1309000</v>
      </c>
      <c r="K33" s="4" t="s">
        <v>157</v>
      </c>
      <c r="L33" s="5" t="n">
        <v>45393</v>
      </c>
      <c r="M33" s="7" t="n">
        <f aca="false">L33-E33</f>
        <v>20</v>
      </c>
      <c r="N33" s="4" t="n">
        <v>7</v>
      </c>
      <c r="O33" s="4" t="n">
        <v>5</v>
      </c>
      <c r="P33" s="4" t="s">
        <v>68</v>
      </c>
      <c r="Q33" s="4" t="s">
        <v>69</v>
      </c>
      <c r="R33" s="4" t="s">
        <v>74</v>
      </c>
      <c r="S33" s="4" t="s">
        <v>54</v>
      </c>
      <c r="T33" s="4" t="s">
        <v>44</v>
      </c>
      <c r="U33" s="4" t="s">
        <v>45</v>
      </c>
    </row>
    <row r="34" customFormat="false" ht="15" hidden="false" customHeight="false" outlineLevel="0" collapsed="false">
      <c r="A34" s="4" t="s">
        <v>158</v>
      </c>
      <c r="B34" s="4" t="s">
        <v>150</v>
      </c>
      <c r="C34" s="4" t="s">
        <v>151</v>
      </c>
      <c r="D34" s="4" t="s">
        <v>76</v>
      </c>
      <c r="E34" s="5" t="n">
        <v>45606</v>
      </c>
      <c r="F34" s="4" t="s">
        <v>159</v>
      </c>
      <c r="G34" s="4" t="s">
        <v>38</v>
      </c>
      <c r="H34" s="4" t="s">
        <v>160</v>
      </c>
      <c r="I34" s="4" t="s">
        <v>36</v>
      </c>
      <c r="J34" s="6" t="n">
        <v>1805000</v>
      </c>
      <c r="K34" s="4" t="s">
        <v>39</v>
      </c>
      <c r="L34" s="5" t="n">
        <v>45657</v>
      </c>
      <c r="M34" s="7" t="n">
        <f aca="false">L34-E34</f>
        <v>51</v>
      </c>
      <c r="N34" s="4" t="n">
        <v>5</v>
      </c>
      <c r="O34" s="4" t="n">
        <v>2</v>
      </c>
      <c r="P34" s="4" t="s">
        <v>68</v>
      </c>
      <c r="Q34" s="4" t="s">
        <v>69</v>
      </c>
      <c r="R34" s="4" t="s">
        <v>53</v>
      </c>
      <c r="S34" s="4" t="s">
        <v>154</v>
      </c>
      <c r="T34" s="4" t="s">
        <v>85</v>
      </c>
      <c r="U34" s="4" t="s">
        <v>45</v>
      </c>
    </row>
    <row r="35" customFormat="false" ht="15" hidden="false" customHeight="false" outlineLevel="0" collapsed="false">
      <c r="A35" s="4" t="s">
        <v>161</v>
      </c>
      <c r="B35" s="4" t="s">
        <v>150</v>
      </c>
      <c r="C35" s="4" t="s">
        <v>151</v>
      </c>
      <c r="D35" s="4" t="s">
        <v>94</v>
      </c>
      <c r="E35" s="5" t="n">
        <v>45315</v>
      </c>
      <c r="F35" s="4" t="s">
        <v>162</v>
      </c>
      <c r="G35" s="4" t="s">
        <v>67</v>
      </c>
      <c r="H35" s="4" t="s">
        <v>163</v>
      </c>
      <c r="I35" s="4" t="s">
        <v>36</v>
      </c>
      <c r="J35" s="6" t="n">
        <v>1546000</v>
      </c>
      <c r="K35" s="4" t="s">
        <v>92</v>
      </c>
      <c r="L35" s="5" t="n">
        <v>45379</v>
      </c>
      <c r="M35" s="7" t="n">
        <f aca="false">L35-E35</f>
        <v>64</v>
      </c>
      <c r="N35" s="4" t="n">
        <v>7</v>
      </c>
      <c r="O35" s="4" t="n">
        <v>4</v>
      </c>
      <c r="P35" s="4" t="s">
        <v>68</v>
      </c>
      <c r="Q35" s="4" t="s">
        <v>69</v>
      </c>
      <c r="R35" s="4" t="s">
        <v>53</v>
      </c>
      <c r="S35" s="4" t="s">
        <v>54</v>
      </c>
      <c r="T35" s="4" t="s">
        <v>44</v>
      </c>
      <c r="U35" s="4" t="s">
        <v>45</v>
      </c>
    </row>
    <row r="36" customFormat="false" ht="15" hidden="false" customHeight="false" outlineLevel="0" collapsed="false">
      <c r="A36" s="4" t="s">
        <v>164</v>
      </c>
      <c r="B36" s="4" t="s">
        <v>150</v>
      </c>
      <c r="C36" s="4" t="s">
        <v>151</v>
      </c>
      <c r="D36" s="4" t="s">
        <v>76</v>
      </c>
      <c r="E36" s="5" t="n">
        <v>45379</v>
      </c>
      <c r="F36" s="4" t="s">
        <v>165</v>
      </c>
      <c r="G36" s="4" t="s">
        <v>65</v>
      </c>
      <c r="H36" s="4" t="s">
        <v>88</v>
      </c>
      <c r="I36" s="4" t="s">
        <v>58</v>
      </c>
      <c r="J36" s="6" t="n">
        <v>1288000</v>
      </c>
      <c r="K36" s="4" t="s">
        <v>166</v>
      </c>
      <c r="L36" s="5" t="n">
        <v>45453</v>
      </c>
      <c r="M36" s="7" t="n">
        <f aca="false">L36-E36</f>
        <v>74</v>
      </c>
      <c r="N36" s="4" t="n">
        <v>7</v>
      </c>
      <c r="O36" s="4" t="n">
        <v>6</v>
      </c>
      <c r="P36" s="4" t="s">
        <v>68</v>
      </c>
      <c r="Q36" s="4" t="s">
        <v>69</v>
      </c>
      <c r="R36" s="4" t="s">
        <v>42</v>
      </c>
      <c r="S36" s="4" t="s">
        <v>54</v>
      </c>
      <c r="T36" s="4" t="s">
        <v>44</v>
      </c>
      <c r="U36" s="4" t="s">
        <v>45</v>
      </c>
    </row>
    <row r="37" customFormat="false" ht="15" hidden="false" customHeight="false" outlineLevel="0" collapsed="false">
      <c r="A37" s="4" t="s">
        <v>167</v>
      </c>
      <c r="B37" s="4" t="s">
        <v>150</v>
      </c>
      <c r="C37" s="4" t="s">
        <v>151</v>
      </c>
      <c r="D37" s="4" t="s">
        <v>34</v>
      </c>
      <c r="E37" s="5" t="n">
        <v>45615</v>
      </c>
      <c r="F37" s="4" t="s">
        <v>48</v>
      </c>
      <c r="G37" s="4" t="s">
        <v>36</v>
      </c>
      <c r="H37" s="4" t="s">
        <v>99</v>
      </c>
      <c r="I37" s="4" t="s">
        <v>38</v>
      </c>
      <c r="J37" s="6" t="n">
        <v>577000</v>
      </c>
      <c r="K37" s="4" t="s">
        <v>97</v>
      </c>
      <c r="L37" s="5" t="n">
        <v>45714</v>
      </c>
      <c r="M37" s="7" t="n">
        <f aca="false">L37-E37</f>
        <v>99</v>
      </c>
      <c r="N37" s="4" t="n">
        <v>5</v>
      </c>
      <c r="O37" s="4" t="n">
        <v>0</v>
      </c>
      <c r="P37" s="4" t="s">
        <v>40</v>
      </c>
      <c r="Q37" s="4" t="s">
        <v>60</v>
      </c>
      <c r="R37" s="4" t="s">
        <v>53</v>
      </c>
      <c r="S37" s="4" t="s">
        <v>154</v>
      </c>
      <c r="T37" s="4" t="s">
        <v>44</v>
      </c>
      <c r="U37" s="4" t="s">
        <v>45</v>
      </c>
    </row>
    <row r="38" customFormat="false" ht="15" hidden="false" customHeight="false" outlineLevel="0" collapsed="false">
      <c r="A38" s="4" t="s">
        <v>168</v>
      </c>
      <c r="B38" s="4" t="s">
        <v>150</v>
      </c>
      <c r="C38" s="4" t="s">
        <v>151</v>
      </c>
      <c r="D38" s="4" t="s">
        <v>94</v>
      </c>
      <c r="E38" s="5" t="n">
        <v>45176</v>
      </c>
      <c r="F38" s="4" t="s">
        <v>169</v>
      </c>
      <c r="G38" s="4" t="s">
        <v>38</v>
      </c>
      <c r="H38" s="4" t="s">
        <v>170</v>
      </c>
      <c r="I38" s="4" t="s">
        <v>58</v>
      </c>
      <c r="J38" s="6" t="n">
        <v>1647000</v>
      </c>
      <c r="K38" s="4" t="s">
        <v>92</v>
      </c>
      <c r="L38" s="5" t="n">
        <v>45233</v>
      </c>
      <c r="M38" s="7" t="n">
        <f aca="false">L38-E38</f>
        <v>57</v>
      </c>
      <c r="N38" s="4" t="n">
        <v>9</v>
      </c>
      <c r="O38" s="4" t="n">
        <v>6</v>
      </c>
      <c r="P38" s="4" t="s">
        <v>40</v>
      </c>
      <c r="Q38" s="4" t="s">
        <v>41</v>
      </c>
      <c r="R38" s="4" t="s">
        <v>74</v>
      </c>
      <c r="S38" s="4" t="s">
        <v>54</v>
      </c>
      <c r="T38" s="4" t="s">
        <v>44</v>
      </c>
      <c r="U38" s="4" t="s">
        <v>45</v>
      </c>
    </row>
    <row r="39" customFormat="false" ht="15" hidden="false" customHeight="false" outlineLevel="0" collapsed="false">
      <c r="A39" s="4" t="s">
        <v>171</v>
      </c>
      <c r="B39" s="4" t="s">
        <v>150</v>
      </c>
      <c r="C39" s="4" t="s">
        <v>151</v>
      </c>
      <c r="D39" s="4" t="s">
        <v>102</v>
      </c>
      <c r="E39" s="5" t="n">
        <v>45051</v>
      </c>
      <c r="F39" s="4" t="s">
        <v>172</v>
      </c>
      <c r="G39" s="4" t="s">
        <v>38</v>
      </c>
      <c r="H39" s="4" t="s">
        <v>173</v>
      </c>
      <c r="I39" s="4" t="s">
        <v>36</v>
      </c>
      <c r="J39" s="6" t="n">
        <v>351000</v>
      </c>
      <c r="K39" s="4" t="s">
        <v>97</v>
      </c>
      <c r="L39" s="5" t="n">
        <v>45187</v>
      </c>
      <c r="M39" s="7" t="n">
        <f aca="false">L39-E39</f>
        <v>136</v>
      </c>
      <c r="N39" s="4" t="n">
        <v>9</v>
      </c>
      <c r="O39" s="4" t="n">
        <v>4</v>
      </c>
      <c r="P39" s="4" t="s">
        <v>68</v>
      </c>
      <c r="Q39" s="4" t="s">
        <v>69</v>
      </c>
      <c r="R39" s="4" t="s">
        <v>42</v>
      </c>
      <c r="S39" s="4" t="s">
        <v>54</v>
      </c>
      <c r="T39" s="4" t="s">
        <v>85</v>
      </c>
      <c r="U39" s="4" t="s">
        <v>45</v>
      </c>
    </row>
    <row r="40" customFormat="false" ht="15" hidden="false" customHeight="false" outlineLevel="0" collapsed="false">
      <c r="A40" s="4" t="s">
        <v>174</v>
      </c>
      <c r="B40" s="4" t="s">
        <v>150</v>
      </c>
      <c r="C40" s="4" t="s">
        <v>151</v>
      </c>
      <c r="D40" s="4" t="s">
        <v>56</v>
      </c>
      <c r="E40" s="5" t="n">
        <v>45413</v>
      </c>
      <c r="F40" s="4" t="s">
        <v>175</v>
      </c>
      <c r="G40" s="4" t="s">
        <v>38</v>
      </c>
      <c r="H40" s="4" t="s">
        <v>66</v>
      </c>
      <c r="I40" s="4" t="s">
        <v>67</v>
      </c>
      <c r="J40" s="6" t="n">
        <v>663000</v>
      </c>
      <c r="K40" s="4" t="s">
        <v>97</v>
      </c>
      <c r="L40" s="5" t="n">
        <v>45548</v>
      </c>
      <c r="M40" s="7" t="n">
        <f aca="false">L40-E40</f>
        <v>135</v>
      </c>
      <c r="N40" s="4" t="n">
        <v>3</v>
      </c>
      <c r="O40" s="4" t="n">
        <v>5</v>
      </c>
      <c r="P40" s="4" t="s">
        <v>40</v>
      </c>
      <c r="Q40" s="4" t="s">
        <v>52</v>
      </c>
      <c r="R40" s="4" t="s">
        <v>42</v>
      </c>
      <c r="S40" s="4" t="s">
        <v>54</v>
      </c>
      <c r="T40" s="4" t="s">
        <v>44</v>
      </c>
      <c r="U40" s="4" t="s">
        <v>45</v>
      </c>
    </row>
    <row r="41" customFormat="false" ht="15" hidden="false" customHeight="false" outlineLevel="0" collapsed="false">
      <c r="A41" s="4" t="s">
        <v>176</v>
      </c>
      <c r="B41" s="4" t="s">
        <v>150</v>
      </c>
      <c r="C41" s="4" t="s">
        <v>151</v>
      </c>
      <c r="D41" s="4" t="s">
        <v>63</v>
      </c>
      <c r="E41" s="5" t="n">
        <v>45270</v>
      </c>
      <c r="F41" s="4" t="s">
        <v>177</v>
      </c>
      <c r="G41" s="4" t="s">
        <v>50</v>
      </c>
      <c r="H41" s="4" t="s">
        <v>178</v>
      </c>
      <c r="I41" s="4" t="s">
        <v>65</v>
      </c>
      <c r="J41" s="6" t="n">
        <v>2235000</v>
      </c>
      <c r="K41" s="4" t="s">
        <v>97</v>
      </c>
      <c r="L41" s="5" t="n">
        <v>45371</v>
      </c>
      <c r="M41" s="7" t="n">
        <f aca="false">L41-E41</f>
        <v>101</v>
      </c>
      <c r="N41" s="4" t="n">
        <v>8</v>
      </c>
      <c r="O41" s="4" t="n">
        <v>1</v>
      </c>
      <c r="P41" s="4" t="s">
        <v>40</v>
      </c>
      <c r="Q41" s="4" t="s">
        <v>52</v>
      </c>
      <c r="R41" s="4" t="s">
        <v>74</v>
      </c>
      <c r="S41" s="4" t="s">
        <v>154</v>
      </c>
      <c r="T41" s="4" t="s">
        <v>44</v>
      </c>
      <c r="U41" s="4" t="s">
        <v>45</v>
      </c>
    </row>
    <row r="42" customFormat="false" ht="15" hidden="false" customHeight="false" outlineLevel="0" collapsed="false">
      <c r="A42" s="4" t="s">
        <v>179</v>
      </c>
      <c r="B42" s="4" t="s">
        <v>150</v>
      </c>
      <c r="C42" s="4" t="s">
        <v>151</v>
      </c>
      <c r="D42" s="4" t="s">
        <v>102</v>
      </c>
      <c r="E42" s="5" t="n">
        <v>45352</v>
      </c>
      <c r="F42" s="4" t="s">
        <v>180</v>
      </c>
      <c r="G42" s="4" t="s">
        <v>36</v>
      </c>
      <c r="H42" s="4" t="s">
        <v>181</v>
      </c>
      <c r="I42" s="4" t="s">
        <v>65</v>
      </c>
      <c r="J42" s="6" t="n">
        <v>533000</v>
      </c>
      <c r="K42" s="4" t="s">
        <v>182</v>
      </c>
      <c r="L42" s="5" t="n">
        <v>45387</v>
      </c>
      <c r="M42" s="7" t="n">
        <f aca="false">L42-E42</f>
        <v>35</v>
      </c>
      <c r="N42" s="4" t="n">
        <v>6</v>
      </c>
      <c r="O42" s="4" t="n">
        <v>6</v>
      </c>
      <c r="P42" s="4" t="s">
        <v>68</v>
      </c>
      <c r="Q42" s="4" t="s">
        <v>69</v>
      </c>
      <c r="R42" s="4" t="s">
        <v>53</v>
      </c>
      <c r="S42" s="4" t="s">
        <v>54</v>
      </c>
      <c r="T42" s="4" t="s">
        <v>44</v>
      </c>
      <c r="U42" s="4" t="s">
        <v>45</v>
      </c>
    </row>
    <row r="43" customFormat="false" ht="15" hidden="false" customHeight="false" outlineLevel="0" collapsed="false">
      <c r="A43" s="4" t="s">
        <v>183</v>
      </c>
      <c r="B43" s="4" t="s">
        <v>150</v>
      </c>
      <c r="C43" s="4" t="s">
        <v>151</v>
      </c>
      <c r="D43" s="4" t="s">
        <v>34</v>
      </c>
      <c r="E43" s="5" t="n">
        <v>45478</v>
      </c>
      <c r="F43" s="4" t="s">
        <v>159</v>
      </c>
      <c r="G43" s="4" t="s">
        <v>58</v>
      </c>
      <c r="H43" s="4" t="s">
        <v>184</v>
      </c>
      <c r="I43" s="4" t="s">
        <v>58</v>
      </c>
      <c r="J43" s="6" t="n">
        <v>1231000</v>
      </c>
      <c r="K43" s="4" t="s">
        <v>39</v>
      </c>
      <c r="L43" s="5" t="n">
        <v>45554</v>
      </c>
      <c r="M43" s="7" t="n">
        <f aca="false">L43-E43</f>
        <v>76</v>
      </c>
      <c r="N43" s="4" t="n">
        <v>9</v>
      </c>
      <c r="O43" s="4" t="n">
        <v>3</v>
      </c>
      <c r="P43" s="4" t="s">
        <v>40</v>
      </c>
      <c r="Q43" s="4" t="s">
        <v>108</v>
      </c>
      <c r="R43" s="4" t="s">
        <v>74</v>
      </c>
      <c r="S43" s="4" t="s">
        <v>154</v>
      </c>
      <c r="T43" s="4" t="s">
        <v>61</v>
      </c>
      <c r="U43" s="4" t="s">
        <v>45</v>
      </c>
    </row>
    <row r="44" customFormat="false" ht="15" hidden="false" customHeight="false" outlineLevel="0" collapsed="false">
      <c r="A44" s="4" t="s">
        <v>185</v>
      </c>
      <c r="B44" s="4" t="s">
        <v>150</v>
      </c>
      <c r="C44" s="4" t="s">
        <v>151</v>
      </c>
      <c r="D44" s="4" t="s">
        <v>76</v>
      </c>
      <c r="E44" s="5" t="n">
        <v>44954</v>
      </c>
      <c r="F44" s="4" t="s">
        <v>186</v>
      </c>
      <c r="G44" s="4" t="s">
        <v>38</v>
      </c>
      <c r="H44" s="4" t="s">
        <v>187</v>
      </c>
      <c r="I44" s="4" t="s">
        <v>67</v>
      </c>
      <c r="J44" s="6" t="n">
        <v>1488000</v>
      </c>
      <c r="K44" s="4" t="s">
        <v>97</v>
      </c>
      <c r="L44" s="5" t="n">
        <v>45074</v>
      </c>
      <c r="M44" s="7" t="n">
        <f aca="false">L44-E44</f>
        <v>120</v>
      </c>
      <c r="N44" s="4" t="n">
        <v>7</v>
      </c>
      <c r="O44" s="4" t="n">
        <v>0</v>
      </c>
      <c r="P44" s="4" t="s">
        <v>68</v>
      </c>
      <c r="Q44" s="4" t="s">
        <v>69</v>
      </c>
      <c r="R44" s="4" t="s">
        <v>42</v>
      </c>
      <c r="S44" s="4" t="s">
        <v>154</v>
      </c>
      <c r="T44" s="4" t="s">
        <v>44</v>
      </c>
      <c r="U44" s="4" t="s">
        <v>45</v>
      </c>
    </row>
    <row r="45" customFormat="false" ht="15" hidden="false" customHeight="false" outlineLevel="0" collapsed="false">
      <c r="A45" s="4" t="s">
        <v>188</v>
      </c>
      <c r="B45" s="4" t="s">
        <v>150</v>
      </c>
      <c r="C45" s="4" t="s">
        <v>151</v>
      </c>
      <c r="D45" s="4" t="s">
        <v>94</v>
      </c>
      <c r="E45" s="5" t="n">
        <v>45261</v>
      </c>
      <c r="F45" s="4" t="s">
        <v>189</v>
      </c>
      <c r="G45" s="4" t="s">
        <v>65</v>
      </c>
      <c r="H45" s="4" t="s">
        <v>90</v>
      </c>
      <c r="I45" s="4" t="s">
        <v>58</v>
      </c>
      <c r="J45" s="6" t="n">
        <v>1908000</v>
      </c>
      <c r="K45" s="4" t="s">
        <v>92</v>
      </c>
      <c r="L45" s="5" t="n">
        <v>45367</v>
      </c>
      <c r="M45" s="7" t="n">
        <f aca="false">L45-E45</f>
        <v>106</v>
      </c>
      <c r="N45" s="4" t="n">
        <v>2</v>
      </c>
      <c r="O45" s="4" t="n">
        <v>6</v>
      </c>
      <c r="P45" s="4" t="s">
        <v>68</v>
      </c>
      <c r="Q45" s="4" t="s">
        <v>69</v>
      </c>
      <c r="R45" s="4" t="s">
        <v>53</v>
      </c>
      <c r="S45" s="4" t="s">
        <v>54</v>
      </c>
      <c r="T45" s="4" t="s">
        <v>44</v>
      </c>
      <c r="U45" s="4" t="s">
        <v>45</v>
      </c>
    </row>
    <row r="46" customFormat="false" ht="15" hidden="false" customHeight="false" outlineLevel="0" collapsed="false">
      <c r="A46" s="4" t="s">
        <v>190</v>
      </c>
      <c r="B46" s="4" t="s">
        <v>150</v>
      </c>
      <c r="C46" s="4" t="s">
        <v>151</v>
      </c>
      <c r="D46" s="4" t="s">
        <v>34</v>
      </c>
      <c r="E46" s="5" t="n">
        <v>45592</v>
      </c>
      <c r="F46" s="4" t="s">
        <v>191</v>
      </c>
      <c r="G46" s="4" t="s">
        <v>65</v>
      </c>
      <c r="H46" s="4" t="s">
        <v>192</v>
      </c>
      <c r="I46" s="4" t="s">
        <v>50</v>
      </c>
      <c r="J46" s="6" t="n">
        <v>1957000</v>
      </c>
      <c r="K46" s="4" t="s">
        <v>39</v>
      </c>
      <c r="L46" s="5" t="n">
        <v>45629</v>
      </c>
      <c r="M46" s="7" t="n">
        <f aca="false">L46-E46</f>
        <v>37</v>
      </c>
      <c r="N46" s="4" t="n">
        <v>9</v>
      </c>
      <c r="O46" s="4" t="n">
        <v>6</v>
      </c>
      <c r="P46" s="4" t="s">
        <v>68</v>
      </c>
      <c r="Q46" s="4" t="s">
        <v>69</v>
      </c>
      <c r="R46" s="4" t="s">
        <v>74</v>
      </c>
      <c r="S46" s="4" t="s">
        <v>54</v>
      </c>
      <c r="T46" s="4" t="s">
        <v>44</v>
      </c>
      <c r="U46" s="4" t="s">
        <v>45</v>
      </c>
    </row>
    <row r="47" customFormat="false" ht="15" hidden="false" customHeight="false" outlineLevel="0" collapsed="false">
      <c r="A47" s="4" t="s">
        <v>193</v>
      </c>
      <c r="B47" s="4" t="s">
        <v>150</v>
      </c>
      <c r="C47" s="4" t="s">
        <v>151</v>
      </c>
      <c r="D47" s="4" t="s">
        <v>63</v>
      </c>
      <c r="E47" s="5" t="n">
        <v>45504</v>
      </c>
      <c r="F47" s="4" t="s">
        <v>127</v>
      </c>
      <c r="G47" s="4" t="s">
        <v>58</v>
      </c>
      <c r="H47" s="4" t="s">
        <v>64</v>
      </c>
      <c r="I47" s="4" t="s">
        <v>50</v>
      </c>
      <c r="J47" s="6" t="n">
        <v>1173000</v>
      </c>
      <c r="K47" s="4" t="s">
        <v>182</v>
      </c>
      <c r="L47" s="5" t="n">
        <v>45579</v>
      </c>
      <c r="M47" s="7" t="n">
        <f aca="false">L47-E47</f>
        <v>75</v>
      </c>
      <c r="N47" s="4" t="n">
        <v>3</v>
      </c>
      <c r="O47" s="4" t="n">
        <v>2</v>
      </c>
      <c r="P47" s="4" t="s">
        <v>40</v>
      </c>
      <c r="Q47" s="4" t="s">
        <v>73</v>
      </c>
      <c r="R47" s="4" t="s">
        <v>42</v>
      </c>
      <c r="S47" s="4" t="s">
        <v>154</v>
      </c>
      <c r="T47" s="4" t="s">
        <v>44</v>
      </c>
      <c r="U47" s="4" t="s">
        <v>45</v>
      </c>
    </row>
    <row r="48" customFormat="false" ht="15" hidden="false" customHeight="false" outlineLevel="0" collapsed="false">
      <c r="A48" s="4" t="s">
        <v>194</v>
      </c>
      <c r="B48" s="4" t="s">
        <v>150</v>
      </c>
      <c r="C48" s="4" t="s">
        <v>151</v>
      </c>
      <c r="D48" s="4" t="s">
        <v>102</v>
      </c>
      <c r="E48" s="5" t="n">
        <v>45516</v>
      </c>
      <c r="F48" s="4" t="s">
        <v>72</v>
      </c>
      <c r="G48" s="4" t="s">
        <v>50</v>
      </c>
      <c r="H48" s="4" t="s">
        <v>195</v>
      </c>
      <c r="I48" s="4" t="s">
        <v>67</v>
      </c>
      <c r="J48" s="6" t="n">
        <v>1004000</v>
      </c>
      <c r="K48" s="4" t="s">
        <v>166</v>
      </c>
      <c r="L48" s="5" t="n">
        <v>45632</v>
      </c>
      <c r="M48" s="7" t="n">
        <f aca="false">L48-E48</f>
        <v>116</v>
      </c>
      <c r="N48" s="4" t="n">
        <v>3</v>
      </c>
      <c r="O48" s="4" t="n">
        <v>0</v>
      </c>
      <c r="P48" s="4" t="s">
        <v>68</v>
      </c>
      <c r="Q48" s="4" t="s">
        <v>69</v>
      </c>
      <c r="R48" s="4" t="s">
        <v>74</v>
      </c>
      <c r="S48" s="4" t="s">
        <v>154</v>
      </c>
      <c r="T48" s="4" t="s">
        <v>44</v>
      </c>
      <c r="U48" s="4" t="s">
        <v>45</v>
      </c>
    </row>
    <row r="49" customFormat="false" ht="15" hidden="false" customHeight="false" outlineLevel="0" collapsed="false">
      <c r="A49" s="4" t="s">
        <v>196</v>
      </c>
      <c r="B49" s="4" t="s">
        <v>150</v>
      </c>
      <c r="C49" s="4" t="s">
        <v>151</v>
      </c>
      <c r="D49" s="4" t="s">
        <v>56</v>
      </c>
      <c r="E49" s="5" t="n">
        <v>45282</v>
      </c>
      <c r="F49" s="4" t="s">
        <v>197</v>
      </c>
      <c r="G49" s="4" t="s">
        <v>38</v>
      </c>
      <c r="H49" s="4" t="s">
        <v>198</v>
      </c>
      <c r="I49" s="4" t="s">
        <v>67</v>
      </c>
      <c r="J49" s="6" t="n">
        <v>1661000</v>
      </c>
      <c r="K49" s="4" t="s">
        <v>166</v>
      </c>
      <c r="L49" s="5" t="n">
        <v>45411</v>
      </c>
      <c r="M49" s="7" t="n">
        <f aca="false">L49-E49</f>
        <v>129</v>
      </c>
      <c r="N49" s="4" t="n">
        <v>9</v>
      </c>
      <c r="O49" s="4" t="n">
        <v>5</v>
      </c>
      <c r="P49" s="4" t="s">
        <v>40</v>
      </c>
      <c r="Q49" s="4" t="s">
        <v>108</v>
      </c>
      <c r="R49" s="4" t="s">
        <v>53</v>
      </c>
      <c r="S49" s="4" t="s">
        <v>54</v>
      </c>
      <c r="T49" s="4" t="s">
        <v>44</v>
      </c>
      <c r="U49" s="4" t="s">
        <v>45</v>
      </c>
    </row>
    <row r="50" customFormat="false" ht="15" hidden="false" customHeight="false" outlineLevel="0" collapsed="false">
      <c r="A50" s="4" t="s">
        <v>199</v>
      </c>
      <c r="B50" s="4" t="s">
        <v>150</v>
      </c>
      <c r="C50" s="4" t="s">
        <v>151</v>
      </c>
      <c r="D50" s="4" t="s">
        <v>47</v>
      </c>
      <c r="E50" s="5" t="n">
        <v>45461</v>
      </c>
      <c r="F50" s="4" t="s">
        <v>200</v>
      </c>
      <c r="G50" s="4" t="s">
        <v>58</v>
      </c>
      <c r="H50" s="4" t="s">
        <v>201</v>
      </c>
      <c r="I50" s="4" t="s">
        <v>67</v>
      </c>
      <c r="J50" s="6" t="n">
        <v>1547000</v>
      </c>
      <c r="K50" s="4" t="s">
        <v>39</v>
      </c>
      <c r="L50" s="5" t="n">
        <v>45550</v>
      </c>
      <c r="M50" s="7" t="n">
        <f aca="false">L50-E50</f>
        <v>89</v>
      </c>
      <c r="N50" s="4" t="n">
        <v>3</v>
      </c>
      <c r="O50" s="4" t="n">
        <v>6</v>
      </c>
      <c r="P50" s="4" t="s">
        <v>68</v>
      </c>
      <c r="Q50" s="4" t="s">
        <v>69</v>
      </c>
      <c r="R50" s="4" t="s">
        <v>53</v>
      </c>
      <c r="S50" s="4" t="s">
        <v>54</v>
      </c>
      <c r="T50" s="4" t="s">
        <v>44</v>
      </c>
      <c r="U50" s="4" t="s">
        <v>45</v>
      </c>
    </row>
    <row r="51" customFormat="false" ht="15" hidden="false" customHeight="false" outlineLevel="0" collapsed="false">
      <c r="A51" s="4" t="s">
        <v>202</v>
      </c>
      <c r="B51" s="4" t="s">
        <v>150</v>
      </c>
      <c r="C51" s="4" t="s">
        <v>151</v>
      </c>
      <c r="D51" s="4" t="s">
        <v>34</v>
      </c>
      <c r="E51" s="5" t="n">
        <v>45176</v>
      </c>
      <c r="F51" s="4" t="s">
        <v>130</v>
      </c>
      <c r="G51" s="4" t="s">
        <v>50</v>
      </c>
      <c r="H51" s="4" t="s">
        <v>120</v>
      </c>
      <c r="I51" s="4" t="s">
        <v>67</v>
      </c>
      <c r="J51" s="6" t="n">
        <v>1433000</v>
      </c>
      <c r="K51" s="4" t="s">
        <v>182</v>
      </c>
      <c r="L51" s="5" t="n">
        <v>45314</v>
      </c>
      <c r="M51" s="7" t="n">
        <f aca="false">L51-E51</f>
        <v>138</v>
      </c>
      <c r="N51" s="4" t="n">
        <v>7</v>
      </c>
      <c r="O51" s="4" t="n">
        <v>2</v>
      </c>
      <c r="P51" s="4" t="s">
        <v>68</v>
      </c>
      <c r="Q51" s="4" t="s">
        <v>69</v>
      </c>
      <c r="R51" s="4" t="s">
        <v>53</v>
      </c>
      <c r="S51" s="4" t="s">
        <v>154</v>
      </c>
      <c r="T51" s="4" t="s">
        <v>61</v>
      </c>
      <c r="U51" s="4" t="s">
        <v>45</v>
      </c>
    </row>
    <row r="52" customFormat="false" ht="15" hidden="false" customHeight="false" outlineLevel="0" collapsed="false">
      <c r="A52" s="4" t="s">
        <v>203</v>
      </c>
      <c r="B52" s="4" t="s">
        <v>150</v>
      </c>
      <c r="C52" s="4" t="s">
        <v>151</v>
      </c>
      <c r="D52" s="4" t="s">
        <v>76</v>
      </c>
      <c r="E52" s="5" t="n">
        <v>45209</v>
      </c>
      <c r="F52" s="4" t="s">
        <v>181</v>
      </c>
      <c r="G52" s="4" t="s">
        <v>36</v>
      </c>
      <c r="H52" s="4" t="s">
        <v>204</v>
      </c>
      <c r="I52" s="4" t="s">
        <v>58</v>
      </c>
      <c r="J52" s="6" t="n">
        <v>1301000</v>
      </c>
      <c r="K52" s="4" t="s">
        <v>97</v>
      </c>
      <c r="L52" s="5" t="n">
        <v>45231</v>
      </c>
      <c r="M52" s="7" t="n">
        <f aca="false">L52-E52</f>
        <v>22</v>
      </c>
      <c r="N52" s="4" t="n">
        <v>9</v>
      </c>
      <c r="O52" s="4" t="n">
        <v>1</v>
      </c>
      <c r="P52" s="4" t="s">
        <v>40</v>
      </c>
      <c r="Q52" s="4" t="s">
        <v>60</v>
      </c>
      <c r="R52" s="4" t="s">
        <v>42</v>
      </c>
      <c r="S52" s="4" t="s">
        <v>154</v>
      </c>
      <c r="T52" s="4" t="s">
        <v>44</v>
      </c>
      <c r="U52" s="4" t="s">
        <v>45</v>
      </c>
    </row>
    <row r="53" customFormat="false" ht="15" hidden="false" customHeight="false" outlineLevel="0" collapsed="false">
      <c r="A53" s="4" t="s">
        <v>205</v>
      </c>
      <c r="B53" s="4" t="s">
        <v>150</v>
      </c>
      <c r="C53" s="4" t="s">
        <v>151</v>
      </c>
      <c r="D53" s="4" t="s">
        <v>102</v>
      </c>
      <c r="E53" s="5" t="n">
        <v>45228</v>
      </c>
      <c r="F53" s="4" t="s">
        <v>206</v>
      </c>
      <c r="G53" s="4" t="s">
        <v>36</v>
      </c>
      <c r="H53" s="4" t="s">
        <v>207</v>
      </c>
      <c r="I53" s="4" t="s">
        <v>38</v>
      </c>
      <c r="J53" s="6" t="n">
        <v>1023000</v>
      </c>
      <c r="K53" s="4" t="s">
        <v>166</v>
      </c>
      <c r="L53" s="5" t="n">
        <v>45304</v>
      </c>
      <c r="M53" s="7" t="n">
        <f aca="false">L53-E53</f>
        <v>76</v>
      </c>
      <c r="N53" s="4" t="n">
        <v>7</v>
      </c>
      <c r="O53" s="4" t="n">
        <v>5</v>
      </c>
      <c r="P53" s="4" t="s">
        <v>40</v>
      </c>
      <c r="Q53" s="4" t="s">
        <v>52</v>
      </c>
      <c r="R53" s="4" t="s">
        <v>74</v>
      </c>
      <c r="S53" s="4" t="s">
        <v>54</v>
      </c>
      <c r="T53" s="4" t="s">
        <v>44</v>
      </c>
      <c r="U53" s="4" t="s">
        <v>45</v>
      </c>
    </row>
    <row r="54" customFormat="false" ht="15" hidden="false" customHeight="false" outlineLevel="0" collapsed="false">
      <c r="A54" s="4" t="s">
        <v>208</v>
      </c>
      <c r="B54" s="4" t="s">
        <v>150</v>
      </c>
      <c r="C54" s="4" t="s">
        <v>151</v>
      </c>
      <c r="D54" s="4" t="s">
        <v>56</v>
      </c>
      <c r="E54" s="5" t="n">
        <v>45204</v>
      </c>
      <c r="F54" s="4" t="s">
        <v>195</v>
      </c>
      <c r="G54" s="4" t="s">
        <v>36</v>
      </c>
      <c r="H54" s="4" t="s">
        <v>103</v>
      </c>
      <c r="I54" s="4" t="s">
        <v>50</v>
      </c>
      <c r="J54" s="6" t="n">
        <v>643000</v>
      </c>
      <c r="K54" s="4" t="s">
        <v>39</v>
      </c>
      <c r="L54" s="5" t="n">
        <v>45302</v>
      </c>
      <c r="M54" s="7" t="n">
        <f aca="false">L54-E54</f>
        <v>98</v>
      </c>
      <c r="N54" s="4" t="n">
        <v>5</v>
      </c>
      <c r="O54" s="4" t="n">
        <v>1</v>
      </c>
      <c r="P54" s="4" t="s">
        <v>40</v>
      </c>
      <c r="Q54" s="4" t="s">
        <v>60</v>
      </c>
      <c r="R54" s="4" t="s">
        <v>53</v>
      </c>
      <c r="S54" s="4" t="s">
        <v>154</v>
      </c>
      <c r="T54" s="4" t="s">
        <v>85</v>
      </c>
      <c r="U54" s="4" t="s">
        <v>45</v>
      </c>
    </row>
    <row r="55" customFormat="false" ht="15" hidden="false" customHeight="false" outlineLevel="0" collapsed="false">
      <c r="A55" s="4" t="s">
        <v>209</v>
      </c>
      <c r="B55" s="4" t="s">
        <v>150</v>
      </c>
      <c r="C55" s="4" t="s">
        <v>151</v>
      </c>
      <c r="D55" s="4" t="s">
        <v>63</v>
      </c>
      <c r="E55" s="5" t="n">
        <v>45530</v>
      </c>
      <c r="F55" s="4" t="s">
        <v>210</v>
      </c>
      <c r="G55" s="4" t="s">
        <v>67</v>
      </c>
      <c r="H55" s="4" t="s">
        <v>211</v>
      </c>
      <c r="I55" s="4" t="s">
        <v>36</v>
      </c>
      <c r="J55" s="6" t="n">
        <v>2452000</v>
      </c>
      <c r="K55" s="4" t="s">
        <v>39</v>
      </c>
      <c r="L55" s="5" t="n">
        <v>45622</v>
      </c>
      <c r="M55" s="7" t="n">
        <f aca="false">L55-E55</f>
        <v>92</v>
      </c>
      <c r="N55" s="4" t="n">
        <v>6</v>
      </c>
      <c r="O55" s="4" t="n">
        <v>2</v>
      </c>
      <c r="P55" s="4" t="s">
        <v>68</v>
      </c>
      <c r="Q55" s="4" t="s">
        <v>69</v>
      </c>
      <c r="R55" s="4" t="s">
        <v>42</v>
      </c>
      <c r="S55" s="4" t="s">
        <v>154</v>
      </c>
      <c r="T55" s="4" t="s">
        <v>44</v>
      </c>
      <c r="U55" s="4" t="s">
        <v>45</v>
      </c>
    </row>
    <row r="56" customFormat="false" ht="15" hidden="false" customHeight="false" outlineLevel="0" collapsed="false">
      <c r="A56" s="4" t="s">
        <v>212</v>
      </c>
      <c r="B56" s="4" t="s">
        <v>150</v>
      </c>
      <c r="C56" s="4" t="s">
        <v>151</v>
      </c>
      <c r="D56" s="4" t="s">
        <v>94</v>
      </c>
      <c r="E56" s="5" t="n">
        <v>45493</v>
      </c>
      <c r="F56" s="4" t="s">
        <v>213</v>
      </c>
      <c r="G56" s="4" t="s">
        <v>65</v>
      </c>
      <c r="H56" s="4" t="s">
        <v>201</v>
      </c>
      <c r="I56" s="4" t="s">
        <v>38</v>
      </c>
      <c r="J56" s="6" t="n">
        <v>1750000</v>
      </c>
      <c r="K56" s="4" t="s">
        <v>97</v>
      </c>
      <c r="L56" s="5" t="n">
        <v>45587</v>
      </c>
      <c r="M56" s="7" t="n">
        <f aca="false">L56-E56</f>
        <v>94</v>
      </c>
      <c r="N56" s="4" t="n">
        <v>9</v>
      </c>
      <c r="O56" s="4" t="n">
        <v>6</v>
      </c>
      <c r="P56" s="4" t="s">
        <v>40</v>
      </c>
      <c r="Q56" s="4" t="s">
        <v>52</v>
      </c>
      <c r="R56" s="4" t="s">
        <v>42</v>
      </c>
      <c r="S56" s="4" t="s">
        <v>54</v>
      </c>
      <c r="T56" s="4" t="s">
        <v>44</v>
      </c>
      <c r="U56" s="4" t="s">
        <v>45</v>
      </c>
    </row>
    <row r="57" customFormat="false" ht="15" hidden="false" customHeight="false" outlineLevel="0" collapsed="false">
      <c r="A57" s="4" t="s">
        <v>214</v>
      </c>
      <c r="B57" s="4" t="s">
        <v>150</v>
      </c>
      <c r="C57" s="4" t="s">
        <v>151</v>
      </c>
      <c r="D57" s="4" t="s">
        <v>34</v>
      </c>
      <c r="E57" s="5" t="n">
        <v>45185</v>
      </c>
      <c r="F57" s="4" t="s">
        <v>215</v>
      </c>
      <c r="G57" s="4" t="s">
        <v>58</v>
      </c>
      <c r="H57" s="4" t="s">
        <v>144</v>
      </c>
      <c r="I57" s="4" t="s">
        <v>50</v>
      </c>
      <c r="J57" s="6" t="n">
        <v>303000</v>
      </c>
      <c r="K57" s="4" t="s">
        <v>92</v>
      </c>
      <c r="L57" s="5" t="n">
        <v>45327</v>
      </c>
      <c r="M57" s="7" t="n">
        <f aca="false">L57-E57</f>
        <v>142</v>
      </c>
      <c r="N57" s="4" t="n">
        <v>6</v>
      </c>
      <c r="O57" s="4" t="n">
        <v>3</v>
      </c>
      <c r="P57" s="4" t="s">
        <v>40</v>
      </c>
      <c r="Q57" s="4" t="s">
        <v>41</v>
      </c>
      <c r="R57" s="4" t="s">
        <v>42</v>
      </c>
      <c r="S57" s="4" t="s">
        <v>154</v>
      </c>
      <c r="T57" s="4" t="s">
        <v>44</v>
      </c>
      <c r="U57" s="4" t="s">
        <v>45</v>
      </c>
    </row>
    <row r="58" customFormat="false" ht="15" hidden="false" customHeight="false" outlineLevel="0" collapsed="false">
      <c r="A58" s="4" t="s">
        <v>216</v>
      </c>
      <c r="B58" s="4" t="s">
        <v>150</v>
      </c>
      <c r="C58" s="4" t="s">
        <v>151</v>
      </c>
      <c r="D58" s="4" t="s">
        <v>94</v>
      </c>
      <c r="E58" s="5" t="n">
        <v>45498</v>
      </c>
      <c r="F58" s="4" t="s">
        <v>148</v>
      </c>
      <c r="G58" s="4" t="s">
        <v>38</v>
      </c>
      <c r="H58" s="4" t="s">
        <v>217</v>
      </c>
      <c r="I58" s="4" t="s">
        <v>67</v>
      </c>
      <c r="J58" s="6" t="n">
        <v>1524000</v>
      </c>
      <c r="K58" s="4" t="s">
        <v>92</v>
      </c>
      <c r="L58" s="5" t="n">
        <v>45624</v>
      </c>
      <c r="M58" s="7" t="n">
        <f aca="false">L58-E58</f>
        <v>126</v>
      </c>
      <c r="N58" s="4" t="n">
        <v>8</v>
      </c>
      <c r="O58" s="4" t="n">
        <v>1</v>
      </c>
      <c r="P58" s="4" t="s">
        <v>68</v>
      </c>
      <c r="Q58" s="4" t="s">
        <v>69</v>
      </c>
      <c r="R58" s="4" t="s">
        <v>53</v>
      </c>
      <c r="S58" s="4" t="s">
        <v>154</v>
      </c>
      <c r="T58" s="4" t="s">
        <v>61</v>
      </c>
      <c r="U58" s="4" t="s">
        <v>45</v>
      </c>
    </row>
    <row r="59" customFormat="false" ht="15" hidden="false" customHeight="false" outlineLevel="0" collapsed="false">
      <c r="A59" s="4" t="s">
        <v>218</v>
      </c>
      <c r="B59" s="4" t="s">
        <v>150</v>
      </c>
      <c r="C59" s="4" t="s">
        <v>151</v>
      </c>
      <c r="D59" s="4" t="s">
        <v>63</v>
      </c>
      <c r="E59" s="5" t="n">
        <v>45562</v>
      </c>
      <c r="F59" s="4" t="s">
        <v>66</v>
      </c>
      <c r="G59" s="4" t="s">
        <v>67</v>
      </c>
      <c r="H59" s="4" t="s">
        <v>219</v>
      </c>
      <c r="I59" s="4" t="s">
        <v>50</v>
      </c>
      <c r="J59" s="6" t="n">
        <v>1532000</v>
      </c>
      <c r="K59" s="4" t="s">
        <v>39</v>
      </c>
      <c r="L59" s="5" t="n">
        <v>45597</v>
      </c>
      <c r="M59" s="7" t="n">
        <f aca="false">L59-E59</f>
        <v>35</v>
      </c>
      <c r="N59" s="4" t="n">
        <v>4</v>
      </c>
      <c r="O59" s="4" t="n">
        <v>6</v>
      </c>
      <c r="P59" s="4" t="s">
        <v>68</v>
      </c>
      <c r="Q59" s="4" t="s">
        <v>69</v>
      </c>
      <c r="R59" s="4" t="s">
        <v>74</v>
      </c>
      <c r="S59" s="4" t="s">
        <v>54</v>
      </c>
      <c r="T59" s="4" t="s">
        <v>44</v>
      </c>
      <c r="U59" s="4" t="s">
        <v>45</v>
      </c>
    </row>
    <row r="60" customFormat="false" ht="15" hidden="false" customHeight="false" outlineLevel="0" collapsed="false">
      <c r="A60" s="4" t="s">
        <v>220</v>
      </c>
      <c r="B60" s="4" t="s">
        <v>150</v>
      </c>
      <c r="C60" s="4" t="s">
        <v>151</v>
      </c>
      <c r="D60" s="4" t="s">
        <v>56</v>
      </c>
      <c r="E60" s="5" t="n">
        <v>45087</v>
      </c>
      <c r="F60" s="4" t="s">
        <v>221</v>
      </c>
      <c r="G60" s="4" t="s">
        <v>67</v>
      </c>
      <c r="H60" s="4" t="s">
        <v>160</v>
      </c>
      <c r="I60" s="4" t="s">
        <v>58</v>
      </c>
      <c r="J60" s="6" t="n">
        <v>1033000</v>
      </c>
      <c r="K60" s="4" t="s">
        <v>97</v>
      </c>
      <c r="L60" s="5" t="n">
        <v>45107</v>
      </c>
      <c r="M60" s="7" t="n">
        <f aca="false">L60-E60</f>
        <v>20</v>
      </c>
      <c r="N60" s="4" t="n">
        <v>3</v>
      </c>
      <c r="O60" s="4" t="n">
        <v>3</v>
      </c>
      <c r="P60" s="4" t="s">
        <v>68</v>
      </c>
      <c r="Q60" s="4" t="s">
        <v>69</v>
      </c>
      <c r="R60" s="4" t="s">
        <v>74</v>
      </c>
      <c r="S60" s="4" t="s">
        <v>154</v>
      </c>
      <c r="T60" s="4" t="s">
        <v>44</v>
      </c>
      <c r="U60" s="4" t="s">
        <v>45</v>
      </c>
    </row>
    <row r="61" customFormat="false" ht="15" hidden="false" customHeight="false" outlineLevel="0" collapsed="false">
      <c r="A61" s="4" t="s">
        <v>222</v>
      </c>
      <c r="B61" s="4" t="s">
        <v>150</v>
      </c>
      <c r="C61" s="4" t="s">
        <v>151</v>
      </c>
      <c r="D61" s="4" t="s">
        <v>63</v>
      </c>
      <c r="E61" s="5" t="n">
        <v>45197</v>
      </c>
      <c r="F61" s="4" t="s">
        <v>223</v>
      </c>
      <c r="G61" s="4" t="s">
        <v>50</v>
      </c>
      <c r="H61" s="4" t="s">
        <v>224</v>
      </c>
      <c r="I61" s="4" t="s">
        <v>50</v>
      </c>
      <c r="J61" s="6" t="n">
        <v>1074000</v>
      </c>
      <c r="K61" s="4" t="s">
        <v>182</v>
      </c>
      <c r="L61" s="5" t="n">
        <v>45267</v>
      </c>
      <c r="M61" s="7" t="n">
        <f aca="false">L61-E61</f>
        <v>70</v>
      </c>
      <c r="N61" s="4" t="n">
        <v>6</v>
      </c>
      <c r="O61" s="4" t="n">
        <v>5</v>
      </c>
      <c r="P61" s="4" t="s">
        <v>68</v>
      </c>
      <c r="Q61" s="4" t="s">
        <v>69</v>
      </c>
      <c r="R61" s="4" t="s">
        <v>53</v>
      </c>
      <c r="S61" s="4" t="s">
        <v>54</v>
      </c>
      <c r="T61" s="4" t="s">
        <v>44</v>
      </c>
      <c r="U61" s="4" t="s">
        <v>45</v>
      </c>
    </row>
    <row r="62" customFormat="false" ht="15" hidden="false" customHeight="false" outlineLevel="0" collapsed="false">
      <c r="A62" s="4" t="s">
        <v>225</v>
      </c>
      <c r="B62" s="4" t="s">
        <v>52</v>
      </c>
      <c r="C62" s="4" t="s">
        <v>226</v>
      </c>
      <c r="D62" s="4" t="s">
        <v>102</v>
      </c>
      <c r="E62" s="5" t="n">
        <v>45406</v>
      </c>
      <c r="F62" s="4" t="s">
        <v>84</v>
      </c>
      <c r="G62" s="4" t="s">
        <v>38</v>
      </c>
      <c r="H62" s="4" t="s">
        <v>37</v>
      </c>
      <c r="I62" s="4" t="s">
        <v>65</v>
      </c>
      <c r="J62" s="6" t="n">
        <v>9332000</v>
      </c>
      <c r="K62" s="4" t="s">
        <v>97</v>
      </c>
      <c r="L62" s="5" t="n">
        <v>45612</v>
      </c>
      <c r="M62" s="7" t="n">
        <f aca="false">L62-E62</f>
        <v>206</v>
      </c>
      <c r="N62" s="4" t="n">
        <v>7</v>
      </c>
      <c r="O62" s="4" t="n">
        <v>2</v>
      </c>
      <c r="P62" s="4" t="s">
        <v>40</v>
      </c>
      <c r="Q62" s="4" t="s">
        <v>73</v>
      </c>
      <c r="R62" s="4" t="s">
        <v>53</v>
      </c>
      <c r="S62" s="4" t="s">
        <v>43</v>
      </c>
      <c r="T62" s="4" t="s">
        <v>44</v>
      </c>
      <c r="U62" s="4" t="s">
        <v>45</v>
      </c>
    </row>
    <row r="63" customFormat="false" ht="15" hidden="false" customHeight="false" outlineLevel="0" collapsed="false">
      <c r="A63" s="4" t="s">
        <v>227</v>
      </c>
      <c r="B63" s="4" t="s">
        <v>52</v>
      </c>
      <c r="C63" s="4" t="s">
        <v>226</v>
      </c>
      <c r="D63" s="4" t="s">
        <v>102</v>
      </c>
      <c r="E63" s="5" t="n">
        <v>45020</v>
      </c>
      <c r="F63" s="4" t="s">
        <v>228</v>
      </c>
      <c r="G63" s="4" t="s">
        <v>67</v>
      </c>
      <c r="H63" s="4" t="s">
        <v>229</v>
      </c>
      <c r="I63" s="4" t="s">
        <v>50</v>
      </c>
      <c r="J63" s="6" t="n">
        <v>28869000</v>
      </c>
      <c r="K63" s="4" t="s">
        <v>97</v>
      </c>
      <c r="L63" s="5" t="n">
        <v>45108</v>
      </c>
      <c r="M63" s="7" t="n">
        <f aca="false">L63-E63</f>
        <v>88</v>
      </c>
      <c r="N63" s="4" t="n">
        <v>9</v>
      </c>
      <c r="O63" s="4" t="n">
        <v>4</v>
      </c>
      <c r="P63" s="4" t="s">
        <v>68</v>
      </c>
      <c r="Q63" s="4" t="s">
        <v>69</v>
      </c>
      <c r="R63" s="4" t="s">
        <v>53</v>
      </c>
      <c r="S63" s="4" t="s">
        <v>43</v>
      </c>
      <c r="T63" s="4" t="s">
        <v>44</v>
      </c>
      <c r="U63" s="4" t="s">
        <v>45</v>
      </c>
    </row>
    <row r="64" customFormat="false" ht="15" hidden="false" customHeight="false" outlineLevel="0" collapsed="false">
      <c r="A64" s="4" t="s">
        <v>230</v>
      </c>
      <c r="B64" s="4" t="s">
        <v>52</v>
      </c>
      <c r="C64" s="4" t="s">
        <v>226</v>
      </c>
      <c r="D64" s="4" t="s">
        <v>47</v>
      </c>
      <c r="E64" s="5" t="n">
        <v>45526</v>
      </c>
      <c r="F64" s="4" t="s">
        <v>231</v>
      </c>
      <c r="G64" s="4" t="s">
        <v>67</v>
      </c>
      <c r="H64" s="4" t="s">
        <v>232</v>
      </c>
      <c r="I64" s="4" t="s">
        <v>65</v>
      </c>
      <c r="J64" s="6" t="n">
        <v>19153000</v>
      </c>
      <c r="K64" s="4" t="s">
        <v>233</v>
      </c>
      <c r="L64" s="5" t="n">
        <v>45667</v>
      </c>
      <c r="M64" s="7" t="n">
        <f aca="false">L64-E64</f>
        <v>141</v>
      </c>
      <c r="N64" s="4" t="n">
        <v>7</v>
      </c>
      <c r="O64" s="4" t="n">
        <v>0</v>
      </c>
      <c r="P64" s="4" t="s">
        <v>68</v>
      </c>
      <c r="Q64" s="4" t="s">
        <v>69</v>
      </c>
      <c r="R64" s="4" t="s">
        <v>53</v>
      </c>
      <c r="S64" s="4" t="s">
        <v>43</v>
      </c>
      <c r="T64" s="4" t="s">
        <v>85</v>
      </c>
      <c r="U64" s="4" t="s">
        <v>45</v>
      </c>
    </row>
    <row r="65" customFormat="false" ht="15" hidden="false" customHeight="false" outlineLevel="0" collapsed="false">
      <c r="A65" s="4" t="s">
        <v>234</v>
      </c>
      <c r="B65" s="4" t="s">
        <v>52</v>
      </c>
      <c r="C65" s="4" t="s">
        <v>226</v>
      </c>
      <c r="D65" s="4" t="s">
        <v>102</v>
      </c>
      <c r="E65" s="5" t="n">
        <v>45434</v>
      </c>
      <c r="F65" s="4" t="s">
        <v>131</v>
      </c>
      <c r="G65" s="4" t="s">
        <v>65</v>
      </c>
      <c r="H65" s="4" t="s">
        <v>133</v>
      </c>
      <c r="I65" s="4" t="s">
        <v>67</v>
      </c>
      <c r="J65" s="6" t="n">
        <v>19979000</v>
      </c>
      <c r="K65" s="4" t="s">
        <v>235</v>
      </c>
      <c r="L65" s="5" t="n">
        <v>45537</v>
      </c>
      <c r="M65" s="7" t="n">
        <f aca="false">L65-E65</f>
        <v>103</v>
      </c>
      <c r="N65" s="4" t="n">
        <v>8</v>
      </c>
      <c r="O65" s="4" t="n">
        <v>6</v>
      </c>
      <c r="P65" s="4" t="s">
        <v>40</v>
      </c>
      <c r="Q65" s="4" t="s">
        <v>73</v>
      </c>
      <c r="R65" s="4" t="s">
        <v>42</v>
      </c>
      <c r="S65" s="4" t="s">
        <v>43</v>
      </c>
      <c r="T65" s="4" t="s">
        <v>85</v>
      </c>
      <c r="U65" s="4" t="s">
        <v>45</v>
      </c>
    </row>
    <row r="66" customFormat="false" ht="15" hidden="false" customHeight="false" outlineLevel="0" collapsed="false">
      <c r="A66" s="4" t="s">
        <v>236</v>
      </c>
      <c r="B66" s="4" t="s">
        <v>52</v>
      </c>
      <c r="C66" s="4" t="s">
        <v>226</v>
      </c>
      <c r="D66" s="4" t="s">
        <v>102</v>
      </c>
      <c r="E66" s="5" t="n">
        <v>45482</v>
      </c>
      <c r="F66" s="4" t="s">
        <v>237</v>
      </c>
      <c r="G66" s="4" t="s">
        <v>58</v>
      </c>
      <c r="H66" s="4" t="s">
        <v>90</v>
      </c>
      <c r="I66" s="4" t="s">
        <v>50</v>
      </c>
      <c r="J66" s="6" t="n">
        <v>12573000</v>
      </c>
      <c r="K66" s="4" t="s">
        <v>238</v>
      </c>
      <c r="L66" s="5" t="n">
        <v>45630</v>
      </c>
      <c r="M66" s="7" t="n">
        <f aca="false">L66-E66</f>
        <v>148</v>
      </c>
      <c r="N66" s="4" t="n">
        <v>4</v>
      </c>
      <c r="O66" s="4" t="n">
        <v>2</v>
      </c>
      <c r="P66" s="4" t="s">
        <v>40</v>
      </c>
      <c r="Q66" s="4" t="s">
        <v>52</v>
      </c>
      <c r="R66" s="4" t="s">
        <v>53</v>
      </c>
      <c r="S66" s="4" t="s">
        <v>43</v>
      </c>
      <c r="T66" s="4" t="s">
        <v>85</v>
      </c>
      <c r="U66" s="4" t="s">
        <v>45</v>
      </c>
    </row>
    <row r="67" customFormat="false" ht="15" hidden="false" customHeight="false" outlineLevel="0" collapsed="false">
      <c r="A67" s="4" t="s">
        <v>239</v>
      </c>
      <c r="B67" s="4" t="s">
        <v>52</v>
      </c>
      <c r="C67" s="4" t="s">
        <v>226</v>
      </c>
      <c r="D67" s="4" t="s">
        <v>63</v>
      </c>
      <c r="E67" s="5" t="n">
        <v>45423</v>
      </c>
      <c r="F67" s="4" t="s">
        <v>240</v>
      </c>
      <c r="G67" s="4" t="s">
        <v>67</v>
      </c>
      <c r="H67" s="4" t="s">
        <v>241</v>
      </c>
      <c r="I67" s="4" t="s">
        <v>36</v>
      </c>
      <c r="J67" s="6" t="n">
        <v>1157000</v>
      </c>
      <c r="K67" s="4" t="s">
        <v>97</v>
      </c>
      <c r="L67" s="5" t="n">
        <v>45484</v>
      </c>
      <c r="M67" s="7" t="n">
        <f aca="false">L67-E67</f>
        <v>61</v>
      </c>
      <c r="N67" s="4" t="n">
        <v>3</v>
      </c>
      <c r="O67" s="4" t="n">
        <v>6</v>
      </c>
      <c r="P67" s="4" t="s">
        <v>68</v>
      </c>
      <c r="Q67" s="4" t="s">
        <v>69</v>
      </c>
      <c r="R67" s="4" t="s">
        <v>42</v>
      </c>
      <c r="S67" s="4" t="s">
        <v>54</v>
      </c>
      <c r="T67" s="4" t="s">
        <v>44</v>
      </c>
      <c r="U67" s="4" t="s">
        <v>45</v>
      </c>
    </row>
    <row r="68" customFormat="false" ht="15" hidden="false" customHeight="false" outlineLevel="0" collapsed="false">
      <c r="A68" s="4" t="s">
        <v>242</v>
      </c>
      <c r="B68" s="4" t="s">
        <v>52</v>
      </c>
      <c r="C68" s="4" t="s">
        <v>226</v>
      </c>
      <c r="D68" s="4" t="s">
        <v>56</v>
      </c>
      <c r="E68" s="5" t="n">
        <v>45399</v>
      </c>
      <c r="F68" s="4" t="s">
        <v>243</v>
      </c>
      <c r="G68" s="4" t="s">
        <v>67</v>
      </c>
      <c r="H68" s="4" t="s">
        <v>181</v>
      </c>
      <c r="I68" s="4" t="s">
        <v>38</v>
      </c>
      <c r="J68" s="6" t="n">
        <v>19537000</v>
      </c>
      <c r="K68" s="4" t="s">
        <v>233</v>
      </c>
      <c r="L68" s="5" t="n">
        <v>45459</v>
      </c>
      <c r="M68" s="7" t="n">
        <f aca="false">L68-E68</f>
        <v>60</v>
      </c>
      <c r="N68" s="4" t="n">
        <v>9</v>
      </c>
      <c r="O68" s="4" t="n">
        <v>5</v>
      </c>
      <c r="P68" s="4" t="s">
        <v>40</v>
      </c>
      <c r="Q68" s="4" t="s">
        <v>73</v>
      </c>
      <c r="R68" s="4" t="s">
        <v>42</v>
      </c>
      <c r="S68" s="4" t="s">
        <v>43</v>
      </c>
      <c r="T68" s="4" t="s">
        <v>44</v>
      </c>
      <c r="U68" s="4" t="s">
        <v>45</v>
      </c>
    </row>
    <row r="69" customFormat="false" ht="15" hidden="false" customHeight="false" outlineLevel="0" collapsed="false">
      <c r="A69" s="4" t="s">
        <v>244</v>
      </c>
      <c r="B69" s="4" t="s">
        <v>52</v>
      </c>
      <c r="C69" s="4" t="s">
        <v>226</v>
      </c>
      <c r="D69" s="4" t="s">
        <v>34</v>
      </c>
      <c r="E69" s="5" t="n">
        <v>45122</v>
      </c>
      <c r="F69" s="4" t="s">
        <v>245</v>
      </c>
      <c r="G69" s="4" t="s">
        <v>67</v>
      </c>
      <c r="H69" s="4" t="s">
        <v>246</v>
      </c>
      <c r="I69" s="4" t="s">
        <v>67</v>
      </c>
      <c r="J69" s="6" t="n">
        <v>15395000</v>
      </c>
      <c r="K69" s="4" t="s">
        <v>235</v>
      </c>
      <c r="L69" s="5" t="n">
        <v>45305</v>
      </c>
      <c r="M69" s="7" t="n">
        <f aca="false">L69-E69</f>
        <v>183</v>
      </c>
      <c r="N69" s="4" t="n">
        <v>6</v>
      </c>
      <c r="O69" s="4" t="n">
        <v>6</v>
      </c>
      <c r="P69" s="4" t="s">
        <v>68</v>
      </c>
      <c r="Q69" s="4" t="s">
        <v>69</v>
      </c>
      <c r="R69" s="4" t="s">
        <v>74</v>
      </c>
      <c r="S69" s="4" t="s">
        <v>43</v>
      </c>
      <c r="T69" s="4" t="s">
        <v>44</v>
      </c>
      <c r="U69" s="4" t="s">
        <v>45</v>
      </c>
    </row>
    <row r="70" customFormat="false" ht="15" hidden="false" customHeight="false" outlineLevel="0" collapsed="false">
      <c r="A70" s="4" t="s">
        <v>247</v>
      </c>
      <c r="B70" s="4" t="s">
        <v>52</v>
      </c>
      <c r="C70" s="4" t="s">
        <v>226</v>
      </c>
      <c r="D70" s="4" t="s">
        <v>47</v>
      </c>
      <c r="E70" s="5" t="n">
        <v>45528</v>
      </c>
      <c r="F70" s="4" t="s">
        <v>84</v>
      </c>
      <c r="G70" s="4" t="s">
        <v>67</v>
      </c>
      <c r="H70" s="4" t="s">
        <v>248</v>
      </c>
      <c r="I70" s="4" t="s">
        <v>36</v>
      </c>
      <c r="J70" s="6" t="n">
        <v>29967000</v>
      </c>
      <c r="K70" s="4" t="s">
        <v>97</v>
      </c>
      <c r="L70" s="5" t="n">
        <v>45706</v>
      </c>
      <c r="M70" s="7" t="n">
        <f aca="false">L70-E70</f>
        <v>178</v>
      </c>
      <c r="N70" s="4" t="n">
        <v>9</v>
      </c>
      <c r="O70" s="4" t="n">
        <v>1</v>
      </c>
      <c r="P70" s="4" t="s">
        <v>68</v>
      </c>
      <c r="Q70" s="4" t="s">
        <v>69</v>
      </c>
      <c r="R70" s="4" t="s">
        <v>53</v>
      </c>
      <c r="S70" s="4" t="s">
        <v>43</v>
      </c>
      <c r="T70" s="4" t="s">
        <v>44</v>
      </c>
      <c r="U70" s="4" t="s">
        <v>45</v>
      </c>
    </row>
    <row r="71" customFormat="false" ht="15" hidden="false" customHeight="false" outlineLevel="0" collapsed="false">
      <c r="A71" s="4" t="s">
        <v>249</v>
      </c>
      <c r="B71" s="4" t="s">
        <v>52</v>
      </c>
      <c r="C71" s="4" t="s">
        <v>226</v>
      </c>
      <c r="D71" s="4" t="s">
        <v>34</v>
      </c>
      <c r="E71" s="5" t="n">
        <v>45171</v>
      </c>
      <c r="F71" s="4" t="s">
        <v>250</v>
      </c>
      <c r="G71" s="4" t="s">
        <v>38</v>
      </c>
      <c r="H71" s="4" t="s">
        <v>251</v>
      </c>
      <c r="I71" s="4" t="s">
        <v>38</v>
      </c>
      <c r="J71" s="6" t="n">
        <v>11674000</v>
      </c>
      <c r="K71" s="4" t="s">
        <v>166</v>
      </c>
      <c r="L71" s="5" t="n">
        <v>45347</v>
      </c>
      <c r="M71" s="7" t="n">
        <f aca="false">L71-E71</f>
        <v>176</v>
      </c>
      <c r="N71" s="4" t="n">
        <v>4</v>
      </c>
      <c r="O71" s="4" t="n">
        <v>3</v>
      </c>
      <c r="P71" s="4" t="s">
        <v>68</v>
      </c>
      <c r="Q71" s="4" t="s">
        <v>69</v>
      </c>
      <c r="R71" s="4" t="s">
        <v>53</v>
      </c>
      <c r="S71" s="4" t="s">
        <v>43</v>
      </c>
      <c r="T71" s="4" t="s">
        <v>44</v>
      </c>
      <c r="U71" s="4" t="s">
        <v>45</v>
      </c>
    </row>
    <row r="72" customFormat="false" ht="15" hidden="false" customHeight="false" outlineLevel="0" collapsed="false">
      <c r="A72" s="4" t="s">
        <v>252</v>
      </c>
      <c r="B72" s="4" t="s">
        <v>52</v>
      </c>
      <c r="C72" s="4" t="s">
        <v>226</v>
      </c>
      <c r="D72" s="4" t="s">
        <v>94</v>
      </c>
      <c r="E72" s="5" t="n">
        <v>45056</v>
      </c>
      <c r="F72" s="4" t="s">
        <v>253</v>
      </c>
      <c r="G72" s="4" t="s">
        <v>65</v>
      </c>
      <c r="H72" s="4" t="s">
        <v>84</v>
      </c>
      <c r="I72" s="4" t="s">
        <v>65</v>
      </c>
      <c r="J72" s="6" t="n">
        <v>28971000</v>
      </c>
      <c r="K72" s="4" t="s">
        <v>166</v>
      </c>
      <c r="L72" s="5" t="n">
        <v>45214</v>
      </c>
      <c r="M72" s="7" t="n">
        <f aca="false">L72-E72</f>
        <v>158</v>
      </c>
      <c r="N72" s="4" t="n">
        <v>4</v>
      </c>
      <c r="O72" s="4" t="n">
        <v>0</v>
      </c>
      <c r="P72" s="4" t="s">
        <v>40</v>
      </c>
      <c r="Q72" s="4" t="s">
        <v>60</v>
      </c>
      <c r="R72" s="4" t="s">
        <v>74</v>
      </c>
      <c r="S72" s="4" t="s">
        <v>43</v>
      </c>
      <c r="T72" s="4" t="s">
        <v>44</v>
      </c>
      <c r="U72" s="4" t="s">
        <v>45</v>
      </c>
    </row>
    <row r="73" customFormat="false" ht="15" hidden="false" customHeight="false" outlineLevel="0" collapsed="false">
      <c r="A73" s="4" t="s">
        <v>254</v>
      </c>
      <c r="B73" s="4" t="s">
        <v>52</v>
      </c>
      <c r="C73" s="4" t="s">
        <v>226</v>
      </c>
      <c r="D73" s="4" t="s">
        <v>76</v>
      </c>
      <c r="E73" s="5" t="n">
        <v>45003</v>
      </c>
      <c r="F73" s="4" t="s">
        <v>80</v>
      </c>
      <c r="G73" s="4" t="s">
        <v>65</v>
      </c>
      <c r="H73" s="4" t="s">
        <v>57</v>
      </c>
      <c r="I73" s="4" t="s">
        <v>58</v>
      </c>
      <c r="J73" s="6" t="n">
        <v>23511000</v>
      </c>
      <c r="K73" s="4" t="s">
        <v>51</v>
      </c>
      <c r="L73" s="5" t="n">
        <v>45153</v>
      </c>
      <c r="M73" s="7" t="n">
        <f aca="false">L73-E73</f>
        <v>150</v>
      </c>
      <c r="N73" s="4" t="n">
        <v>8</v>
      </c>
      <c r="O73" s="4" t="n">
        <v>4</v>
      </c>
      <c r="P73" s="4" t="s">
        <v>40</v>
      </c>
      <c r="Q73" s="4" t="s">
        <v>52</v>
      </c>
      <c r="R73" s="4" t="s">
        <v>74</v>
      </c>
      <c r="S73" s="4" t="s">
        <v>43</v>
      </c>
      <c r="T73" s="4" t="s">
        <v>85</v>
      </c>
      <c r="U73" s="4" t="s">
        <v>45</v>
      </c>
    </row>
    <row r="74" customFormat="false" ht="15" hidden="false" customHeight="false" outlineLevel="0" collapsed="false">
      <c r="A74" s="4" t="s">
        <v>255</v>
      </c>
      <c r="B74" s="4" t="s">
        <v>52</v>
      </c>
      <c r="C74" s="4" t="s">
        <v>226</v>
      </c>
      <c r="D74" s="4" t="s">
        <v>76</v>
      </c>
      <c r="E74" s="5" t="n">
        <v>45426</v>
      </c>
      <c r="F74" s="4" t="s">
        <v>223</v>
      </c>
      <c r="G74" s="4" t="s">
        <v>50</v>
      </c>
      <c r="H74" s="4" t="s">
        <v>64</v>
      </c>
      <c r="I74" s="4" t="s">
        <v>38</v>
      </c>
      <c r="J74" s="6" t="n">
        <v>1366000</v>
      </c>
      <c r="K74" s="4" t="s">
        <v>235</v>
      </c>
      <c r="L74" s="5" t="n">
        <v>45594</v>
      </c>
      <c r="M74" s="7" t="n">
        <f aca="false">L74-E74</f>
        <v>168</v>
      </c>
      <c r="N74" s="4" t="n">
        <v>3</v>
      </c>
      <c r="O74" s="4" t="n">
        <v>5</v>
      </c>
      <c r="P74" s="4" t="s">
        <v>40</v>
      </c>
      <c r="Q74" s="4" t="s">
        <v>60</v>
      </c>
      <c r="R74" s="4" t="s">
        <v>42</v>
      </c>
      <c r="S74" s="4" t="s">
        <v>54</v>
      </c>
      <c r="T74" s="4" t="s">
        <v>85</v>
      </c>
      <c r="U74" s="4" t="s">
        <v>45</v>
      </c>
    </row>
    <row r="75" customFormat="false" ht="15" hidden="false" customHeight="false" outlineLevel="0" collapsed="false">
      <c r="A75" s="4" t="s">
        <v>256</v>
      </c>
      <c r="B75" s="4" t="s">
        <v>52</v>
      </c>
      <c r="C75" s="4" t="s">
        <v>226</v>
      </c>
      <c r="D75" s="4" t="s">
        <v>56</v>
      </c>
      <c r="E75" s="5" t="n">
        <v>45233</v>
      </c>
      <c r="F75" s="4" t="s">
        <v>231</v>
      </c>
      <c r="G75" s="4" t="s">
        <v>50</v>
      </c>
      <c r="H75" s="4" t="s">
        <v>257</v>
      </c>
      <c r="I75" s="4" t="s">
        <v>38</v>
      </c>
      <c r="J75" s="6" t="n">
        <v>1666000</v>
      </c>
      <c r="K75" s="4" t="s">
        <v>51</v>
      </c>
      <c r="L75" s="5" t="n">
        <v>45270</v>
      </c>
      <c r="M75" s="7" t="n">
        <f aca="false">L75-E75</f>
        <v>37</v>
      </c>
      <c r="N75" s="4" t="n">
        <v>4</v>
      </c>
      <c r="O75" s="4" t="n">
        <v>2</v>
      </c>
      <c r="P75" s="4" t="s">
        <v>68</v>
      </c>
      <c r="Q75" s="4" t="s">
        <v>69</v>
      </c>
      <c r="R75" s="4" t="s">
        <v>42</v>
      </c>
      <c r="S75" s="4" t="s">
        <v>154</v>
      </c>
      <c r="T75" s="4" t="s">
        <v>44</v>
      </c>
      <c r="U75" s="4" t="s">
        <v>45</v>
      </c>
    </row>
    <row r="76" customFormat="false" ht="15" hidden="false" customHeight="false" outlineLevel="0" collapsed="false">
      <c r="A76" s="4" t="s">
        <v>258</v>
      </c>
      <c r="B76" s="4" t="s">
        <v>52</v>
      </c>
      <c r="C76" s="4" t="s">
        <v>226</v>
      </c>
      <c r="D76" s="4" t="s">
        <v>47</v>
      </c>
      <c r="E76" s="5" t="n">
        <v>45007</v>
      </c>
      <c r="F76" s="4" t="s">
        <v>111</v>
      </c>
      <c r="G76" s="4" t="s">
        <v>50</v>
      </c>
      <c r="H76" s="4" t="s">
        <v>48</v>
      </c>
      <c r="I76" s="4" t="s">
        <v>58</v>
      </c>
      <c r="J76" s="6" t="n">
        <v>26164000</v>
      </c>
      <c r="K76" s="4" t="s">
        <v>238</v>
      </c>
      <c r="L76" s="5" t="n">
        <v>45193</v>
      </c>
      <c r="M76" s="7" t="n">
        <f aca="false">L76-E76</f>
        <v>186</v>
      </c>
      <c r="N76" s="4" t="n">
        <v>9</v>
      </c>
      <c r="O76" s="4" t="n">
        <v>1</v>
      </c>
      <c r="P76" s="4" t="s">
        <v>68</v>
      </c>
      <c r="Q76" s="4" t="s">
        <v>69</v>
      </c>
      <c r="R76" s="4" t="s">
        <v>53</v>
      </c>
      <c r="S76" s="4" t="s">
        <v>43</v>
      </c>
      <c r="T76" s="4" t="s">
        <v>85</v>
      </c>
      <c r="U76" s="4" t="s">
        <v>45</v>
      </c>
    </row>
    <row r="77" customFormat="false" ht="15" hidden="false" customHeight="false" outlineLevel="0" collapsed="false">
      <c r="A77" s="4" t="s">
        <v>259</v>
      </c>
      <c r="B77" s="4" t="s">
        <v>52</v>
      </c>
      <c r="C77" s="4" t="s">
        <v>226</v>
      </c>
      <c r="D77" s="4" t="s">
        <v>63</v>
      </c>
      <c r="E77" s="5" t="n">
        <v>44936</v>
      </c>
      <c r="F77" s="4" t="s">
        <v>260</v>
      </c>
      <c r="G77" s="4" t="s">
        <v>67</v>
      </c>
      <c r="H77" s="4" t="s">
        <v>201</v>
      </c>
      <c r="I77" s="4" t="s">
        <v>58</v>
      </c>
      <c r="J77" s="6" t="n">
        <v>14118000</v>
      </c>
      <c r="K77" s="4" t="s">
        <v>97</v>
      </c>
      <c r="L77" s="5" t="n">
        <v>45171</v>
      </c>
      <c r="M77" s="7" t="n">
        <f aca="false">L77-E77</f>
        <v>235</v>
      </c>
      <c r="N77" s="4" t="n">
        <v>6</v>
      </c>
      <c r="O77" s="4" t="n">
        <v>4</v>
      </c>
      <c r="P77" s="4" t="s">
        <v>40</v>
      </c>
      <c r="Q77" s="4" t="s">
        <v>60</v>
      </c>
      <c r="R77" s="4" t="s">
        <v>53</v>
      </c>
      <c r="S77" s="4" t="s">
        <v>43</v>
      </c>
      <c r="T77" s="4" t="s">
        <v>44</v>
      </c>
      <c r="U77" s="4" t="s">
        <v>45</v>
      </c>
    </row>
    <row r="78" customFormat="false" ht="15" hidden="false" customHeight="false" outlineLevel="0" collapsed="false">
      <c r="A78" s="4" t="s">
        <v>261</v>
      </c>
      <c r="B78" s="4" t="s">
        <v>52</v>
      </c>
      <c r="C78" s="4" t="s">
        <v>226</v>
      </c>
      <c r="D78" s="4" t="s">
        <v>102</v>
      </c>
      <c r="E78" s="5" t="n">
        <v>45320</v>
      </c>
      <c r="F78" s="4" t="s">
        <v>262</v>
      </c>
      <c r="G78" s="4" t="s">
        <v>67</v>
      </c>
      <c r="H78" s="4" t="s">
        <v>228</v>
      </c>
      <c r="I78" s="4" t="s">
        <v>38</v>
      </c>
      <c r="J78" s="6" t="n">
        <v>3468000</v>
      </c>
      <c r="K78" s="4" t="s">
        <v>238</v>
      </c>
      <c r="L78" s="5" t="n">
        <v>45473</v>
      </c>
      <c r="M78" s="7" t="n">
        <f aca="false">L78-E78</f>
        <v>153</v>
      </c>
      <c r="N78" s="4" t="n">
        <v>2</v>
      </c>
      <c r="O78" s="4" t="n">
        <v>2</v>
      </c>
      <c r="P78" s="4" t="s">
        <v>40</v>
      </c>
      <c r="Q78" s="4" t="s">
        <v>73</v>
      </c>
      <c r="R78" s="4" t="s">
        <v>74</v>
      </c>
      <c r="S78" s="4" t="s">
        <v>154</v>
      </c>
      <c r="T78" s="4" t="s">
        <v>85</v>
      </c>
      <c r="U78" s="4" t="s">
        <v>45</v>
      </c>
    </row>
    <row r="79" customFormat="false" ht="15" hidden="false" customHeight="false" outlineLevel="0" collapsed="false">
      <c r="A79" s="4" t="s">
        <v>263</v>
      </c>
      <c r="B79" s="4" t="s">
        <v>52</v>
      </c>
      <c r="C79" s="4" t="s">
        <v>226</v>
      </c>
      <c r="D79" s="4" t="s">
        <v>94</v>
      </c>
      <c r="E79" s="5" t="n">
        <v>44977</v>
      </c>
      <c r="F79" s="4" t="s">
        <v>204</v>
      </c>
      <c r="G79" s="4" t="s">
        <v>36</v>
      </c>
      <c r="H79" s="4" t="s">
        <v>152</v>
      </c>
      <c r="I79" s="4" t="s">
        <v>50</v>
      </c>
      <c r="J79" s="6" t="n">
        <v>22432000</v>
      </c>
      <c r="K79" s="4" t="s">
        <v>166</v>
      </c>
      <c r="L79" s="5" t="n">
        <v>45162</v>
      </c>
      <c r="M79" s="7" t="n">
        <f aca="false">L79-E79</f>
        <v>185</v>
      </c>
      <c r="N79" s="4" t="n">
        <v>5</v>
      </c>
      <c r="O79" s="4" t="n">
        <v>2</v>
      </c>
      <c r="P79" s="4" t="s">
        <v>68</v>
      </c>
      <c r="Q79" s="4" t="s">
        <v>69</v>
      </c>
      <c r="R79" s="4" t="s">
        <v>74</v>
      </c>
      <c r="S79" s="4" t="s">
        <v>43</v>
      </c>
      <c r="T79" s="4" t="s">
        <v>44</v>
      </c>
      <c r="U79" s="4" t="s">
        <v>45</v>
      </c>
    </row>
    <row r="80" customFormat="false" ht="15" hidden="false" customHeight="false" outlineLevel="0" collapsed="false">
      <c r="A80" s="4" t="s">
        <v>264</v>
      </c>
      <c r="B80" s="4" t="s">
        <v>52</v>
      </c>
      <c r="C80" s="4" t="s">
        <v>226</v>
      </c>
      <c r="D80" s="4" t="s">
        <v>63</v>
      </c>
      <c r="E80" s="5" t="n">
        <v>45621</v>
      </c>
      <c r="F80" s="4" t="s">
        <v>219</v>
      </c>
      <c r="G80" s="4" t="s">
        <v>58</v>
      </c>
      <c r="H80" s="4" t="s">
        <v>265</v>
      </c>
      <c r="I80" s="4" t="s">
        <v>67</v>
      </c>
      <c r="J80" s="6" t="n">
        <v>21712000</v>
      </c>
      <c r="K80" s="4" t="s">
        <v>97</v>
      </c>
      <c r="L80" s="5" t="n">
        <v>45844</v>
      </c>
      <c r="M80" s="7" t="n">
        <f aca="false">L80-E80</f>
        <v>223</v>
      </c>
      <c r="N80" s="4" t="n">
        <v>2</v>
      </c>
      <c r="O80" s="4" t="n">
        <v>6</v>
      </c>
      <c r="P80" s="4" t="s">
        <v>68</v>
      </c>
      <c r="Q80" s="4" t="s">
        <v>69</v>
      </c>
      <c r="R80" s="4" t="s">
        <v>74</v>
      </c>
      <c r="S80" s="4" t="s">
        <v>43</v>
      </c>
      <c r="T80" s="4" t="s">
        <v>44</v>
      </c>
      <c r="U80" s="4" t="s">
        <v>45</v>
      </c>
    </row>
    <row r="81" customFormat="false" ht="15" hidden="false" customHeight="false" outlineLevel="0" collapsed="false">
      <c r="A81" s="4" t="s">
        <v>266</v>
      </c>
      <c r="B81" s="4" t="s">
        <v>52</v>
      </c>
      <c r="C81" s="4" t="s">
        <v>226</v>
      </c>
      <c r="D81" s="4" t="s">
        <v>63</v>
      </c>
      <c r="E81" s="5" t="n">
        <v>45061</v>
      </c>
      <c r="F81" s="4" t="s">
        <v>170</v>
      </c>
      <c r="G81" s="4" t="s">
        <v>36</v>
      </c>
      <c r="H81" s="4" t="s">
        <v>267</v>
      </c>
      <c r="I81" s="4" t="s">
        <v>36</v>
      </c>
      <c r="J81" s="6" t="n">
        <v>27316000</v>
      </c>
      <c r="K81" s="4" t="s">
        <v>51</v>
      </c>
      <c r="L81" s="5" t="n">
        <v>45114</v>
      </c>
      <c r="M81" s="7" t="n">
        <f aca="false">L81-E81</f>
        <v>53</v>
      </c>
      <c r="N81" s="4" t="n">
        <v>6</v>
      </c>
      <c r="O81" s="4" t="n">
        <v>3</v>
      </c>
      <c r="P81" s="4" t="s">
        <v>40</v>
      </c>
      <c r="Q81" s="4" t="s">
        <v>108</v>
      </c>
      <c r="R81" s="4" t="s">
        <v>53</v>
      </c>
      <c r="S81" s="4" t="s">
        <v>43</v>
      </c>
      <c r="T81" s="4" t="s">
        <v>44</v>
      </c>
      <c r="U81" s="4" t="s">
        <v>45</v>
      </c>
    </row>
    <row r="82" customFormat="false" ht="15" hidden="false" customHeight="false" outlineLevel="0" collapsed="false">
      <c r="A82" s="4" t="s">
        <v>268</v>
      </c>
      <c r="B82" s="4" t="s">
        <v>52</v>
      </c>
      <c r="C82" s="4" t="s">
        <v>226</v>
      </c>
      <c r="D82" s="4" t="s">
        <v>34</v>
      </c>
      <c r="E82" s="5" t="n">
        <v>45229</v>
      </c>
      <c r="F82" s="4" t="s">
        <v>269</v>
      </c>
      <c r="G82" s="4" t="s">
        <v>58</v>
      </c>
      <c r="H82" s="4" t="s">
        <v>72</v>
      </c>
      <c r="I82" s="4" t="s">
        <v>38</v>
      </c>
      <c r="J82" s="6" t="n">
        <v>26151000</v>
      </c>
      <c r="K82" s="4" t="s">
        <v>51</v>
      </c>
      <c r="L82" s="5" t="n">
        <v>45450</v>
      </c>
      <c r="M82" s="7" t="n">
        <f aca="false">L82-E82</f>
        <v>221</v>
      </c>
      <c r="N82" s="4" t="n">
        <v>7</v>
      </c>
      <c r="O82" s="4" t="n">
        <v>3</v>
      </c>
      <c r="P82" s="4" t="s">
        <v>68</v>
      </c>
      <c r="Q82" s="4" t="s">
        <v>69</v>
      </c>
      <c r="R82" s="4" t="s">
        <v>42</v>
      </c>
      <c r="S82" s="4" t="s">
        <v>43</v>
      </c>
      <c r="T82" s="4" t="s">
        <v>44</v>
      </c>
      <c r="U82" s="4" t="s">
        <v>45</v>
      </c>
    </row>
    <row r="83" customFormat="false" ht="15" hidden="false" customHeight="false" outlineLevel="0" collapsed="false">
      <c r="A83" s="4" t="s">
        <v>270</v>
      </c>
      <c r="B83" s="4" t="s">
        <v>52</v>
      </c>
      <c r="C83" s="4" t="s">
        <v>226</v>
      </c>
      <c r="D83" s="4" t="s">
        <v>76</v>
      </c>
      <c r="E83" s="5" t="n">
        <v>44941</v>
      </c>
      <c r="F83" s="4" t="s">
        <v>271</v>
      </c>
      <c r="G83" s="4" t="s">
        <v>36</v>
      </c>
      <c r="H83" s="4" t="s">
        <v>80</v>
      </c>
      <c r="I83" s="4" t="s">
        <v>67</v>
      </c>
      <c r="J83" s="6" t="n">
        <v>16236000</v>
      </c>
      <c r="K83" s="4" t="s">
        <v>235</v>
      </c>
      <c r="L83" s="5" t="n">
        <v>45038</v>
      </c>
      <c r="M83" s="7" t="n">
        <f aca="false">L83-E83</f>
        <v>97</v>
      </c>
      <c r="N83" s="4" t="n">
        <v>5</v>
      </c>
      <c r="O83" s="4" t="n">
        <v>5</v>
      </c>
      <c r="P83" s="4" t="s">
        <v>68</v>
      </c>
      <c r="Q83" s="4" t="s">
        <v>69</v>
      </c>
      <c r="R83" s="4" t="s">
        <v>53</v>
      </c>
      <c r="S83" s="4" t="s">
        <v>43</v>
      </c>
      <c r="T83" s="4" t="s">
        <v>44</v>
      </c>
      <c r="U83" s="4" t="s">
        <v>45</v>
      </c>
    </row>
    <row r="84" customFormat="false" ht="15" hidden="false" customHeight="false" outlineLevel="0" collapsed="false">
      <c r="A84" s="4" t="s">
        <v>272</v>
      </c>
      <c r="B84" s="4" t="s">
        <v>52</v>
      </c>
      <c r="C84" s="4" t="s">
        <v>226</v>
      </c>
      <c r="D84" s="4" t="s">
        <v>34</v>
      </c>
      <c r="E84" s="5" t="n">
        <v>45561</v>
      </c>
      <c r="F84" s="4" t="s">
        <v>273</v>
      </c>
      <c r="G84" s="4" t="s">
        <v>58</v>
      </c>
      <c r="H84" s="4" t="s">
        <v>274</v>
      </c>
      <c r="I84" s="4" t="s">
        <v>38</v>
      </c>
      <c r="J84" s="6" t="n">
        <v>10042000</v>
      </c>
      <c r="K84" s="4" t="s">
        <v>235</v>
      </c>
      <c r="L84" s="5" t="n">
        <v>45734</v>
      </c>
      <c r="M84" s="7" t="n">
        <f aca="false">L84-E84</f>
        <v>173</v>
      </c>
      <c r="N84" s="4" t="n">
        <v>4</v>
      </c>
      <c r="O84" s="4" t="n">
        <v>5</v>
      </c>
      <c r="P84" s="4" t="s">
        <v>68</v>
      </c>
      <c r="Q84" s="4" t="s">
        <v>69</v>
      </c>
      <c r="R84" s="4" t="s">
        <v>42</v>
      </c>
      <c r="S84" s="4" t="s">
        <v>43</v>
      </c>
      <c r="T84" s="4" t="s">
        <v>44</v>
      </c>
      <c r="U84" s="4" t="s">
        <v>45</v>
      </c>
    </row>
    <row r="85" customFormat="false" ht="15" hidden="false" customHeight="false" outlineLevel="0" collapsed="false">
      <c r="A85" s="4" t="s">
        <v>275</v>
      </c>
      <c r="B85" s="4" t="s">
        <v>52</v>
      </c>
      <c r="C85" s="4" t="s">
        <v>226</v>
      </c>
      <c r="D85" s="4" t="s">
        <v>63</v>
      </c>
      <c r="E85" s="5" t="n">
        <v>45238</v>
      </c>
      <c r="F85" s="4" t="s">
        <v>181</v>
      </c>
      <c r="G85" s="4" t="s">
        <v>67</v>
      </c>
      <c r="H85" s="4" t="s">
        <v>35</v>
      </c>
      <c r="I85" s="4" t="s">
        <v>58</v>
      </c>
      <c r="J85" s="6" t="n">
        <v>3749000</v>
      </c>
      <c r="K85" s="4" t="s">
        <v>51</v>
      </c>
      <c r="L85" s="5" t="n">
        <v>45394</v>
      </c>
      <c r="M85" s="7" t="n">
        <f aca="false">L85-E85</f>
        <v>156</v>
      </c>
      <c r="N85" s="4" t="n">
        <v>8</v>
      </c>
      <c r="O85" s="4" t="n">
        <v>4</v>
      </c>
      <c r="P85" s="4" t="s">
        <v>40</v>
      </c>
      <c r="Q85" s="4" t="s">
        <v>73</v>
      </c>
      <c r="R85" s="4" t="s">
        <v>74</v>
      </c>
      <c r="S85" s="4" t="s">
        <v>54</v>
      </c>
      <c r="T85" s="4" t="s">
        <v>85</v>
      </c>
      <c r="U85" s="4" t="s">
        <v>45</v>
      </c>
    </row>
    <row r="86" customFormat="false" ht="15" hidden="false" customHeight="false" outlineLevel="0" collapsed="false">
      <c r="A86" s="4" t="s">
        <v>276</v>
      </c>
      <c r="B86" s="4" t="s">
        <v>52</v>
      </c>
      <c r="C86" s="4" t="s">
        <v>226</v>
      </c>
      <c r="D86" s="4" t="s">
        <v>47</v>
      </c>
      <c r="E86" s="5" t="n">
        <v>45085</v>
      </c>
      <c r="F86" s="4" t="s">
        <v>49</v>
      </c>
      <c r="G86" s="4" t="s">
        <v>58</v>
      </c>
      <c r="H86" s="4" t="s">
        <v>83</v>
      </c>
      <c r="I86" s="4" t="s">
        <v>38</v>
      </c>
      <c r="J86" s="6" t="n">
        <v>19751000</v>
      </c>
      <c r="K86" s="4" t="s">
        <v>97</v>
      </c>
      <c r="L86" s="5" t="n">
        <v>45221</v>
      </c>
      <c r="M86" s="7" t="n">
        <f aca="false">L86-E86</f>
        <v>136</v>
      </c>
      <c r="N86" s="4" t="n">
        <v>5</v>
      </c>
      <c r="O86" s="4" t="n">
        <v>4</v>
      </c>
      <c r="P86" s="4" t="s">
        <v>68</v>
      </c>
      <c r="Q86" s="4" t="s">
        <v>69</v>
      </c>
      <c r="R86" s="4" t="s">
        <v>53</v>
      </c>
      <c r="S86" s="4" t="s">
        <v>43</v>
      </c>
      <c r="T86" s="4" t="s">
        <v>44</v>
      </c>
      <c r="U86" s="4" t="s">
        <v>45</v>
      </c>
    </row>
    <row r="87" customFormat="false" ht="15" hidden="false" customHeight="false" outlineLevel="0" collapsed="false">
      <c r="A87" s="4" t="s">
        <v>277</v>
      </c>
      <c r="B87" s="4" t="s">
        <v>278</v>
      </c>
      <c r="C87" s="4" t="s">
        <v>279</v>
      </c>
      <c r="D87" s="4" t="s">
        <v>47</v>
      </c>
      <c r="E87" s="5" t="n">
        <v>45303</v>
      </c>
      <c r="F87" s="4" t="s">
        <v>280</v>
      </c>
      <c r="G87" s="4" t="s">
        <v>65</v>
      </c>
      <c r="H87" s="4" t="s">
        <v>253</v>
      </c>
      <c r="I87" s="4" t="s">
        <v>65</v>
      </c>
      <c r="J87" s="6" t="n">
        <v>9027000</v>
      </c>
      <c r="K87" s="4" t="s">
        <v>92</v>
      </c>
      <c r="L87" s="5" t="n">
        <v>45472</v>
      </c>
      <c r="M87" s="7" t="n">
        <f aca="false">L87-E87</f>
        <v>169</v>
      </c>
      <c r="N87" s="4" t="n">
        <v>5</v>
      </c>
      <c r="O87" s="4" t="n">
        <v>0</v>
      </c>
      <c r="P87" s="4" t="s">
        <v>68</v>
      </c>
      <c r="Q87" s="4" t="s">
        <v>69</v>
      </c>
      <c r="R87" s="4" t="s">
        <v>74</v>
      </c>
      <c r="S87" s="4" t="s">
        <v>43</v>
      </c>
      <c r="T87" s="4" t="s">
        <v>85</v>
      </c>
      <c r="U87" s="4" t="s">
        <v>45</v>
      </c>
    </row>
    <row r="88" customFormat="false" ht="15" hidden="false" customHeight="false" outlineLevel="0" collapsed="false">
      <c r="A88" s="4" t="s">
        <v>281</v>
      </c>
      <c r="B88" s="4" t="s">
        <v>278</v>
      </c>
      <c r="C88" s="4" t="s">
        <v>279</v>
      </c>
      <c r="D88" s="4" t="s">
        <v>94</v>
      </c>
      <c r="E88" s="5" t="n">
        <v>45538</v>
      </c>
      <c r="F88" s="4" t="s">
        <v>136</v>
      </c>
      <c r="G88" s="4" t="s">
        <v>65</v>
      </c>
      <c r="H88" s="4" t="s">
        <v>282</v>
      </c>
      <c r="I88" s="4" t="s">
        <v>50</v>
      </c>
      <c r="J88" s="6" t="n">
        <v>601000</v>
      </c>
      <c r="K88" s="4" t="s">
        <v>59</v>
      </c>
      <c r="L88" s="5" t="n">
        <v>45573</v>
      </c>
      <c r="M88" s="7" t="n">
        <f aca="false">L88-E88</f>
        <v>35</v>
      </c>
      <c r="N88" s="4" t="n">
        <v>5</v>
      </c>
      <c r="O88" s="4" t="n">
        <v>1</v>
      </c>
      <c r="P88" s="4" t="s">
        <v>40</v>
      </c>
      <c r="Q88" s="4" t="s">
        <v>108</v>
      </c>
      <c r="R88" s="4" t="s">
        <v>53</v>
      </c>
      <c r="S88" s="4" t="s">
        <v>154</v>
      </c>
      <c r="T88" s="4" t="s">
        <v>44</v>
      </c>
      <c r="U88" s="4" t="s">
        <v>45</v>
      </c>
    </row>
    <row r="89" customFormat="false" ht="15" hidden="false" customHeight="false" outlineLevel="0" collapsed="false">
      <c r="A89" s="4" t="s">
        <v>283</v>
      </c>
      <c r="B89" s="4" t="s">
        <v>278</v>
      </c>
      <c r="C89" s="4" t="s">
        <v>279</v>
      </c>
      <c r="D89" s="4" t="s">
        <v>102</v>
      </c>
      <c r="E89" s="5" t="n">
        <v>45537</v>
      </c>
      <c r="F89" s="4" t="s">
        <v>284</v>
      </c>
      <c r="G89" s="4" t="s">
        <v>65</v>
      </c>
      <c r="H89" s="4" t="s">
        <v>265</v>
      </c>
      <c r="I89" s="4" t="s">
        <v>50</v>
      </c>
      <c r="J89" s="6" t="n">
        <v>2845000</v>
      </c>
      <c r="K89" s="4" t="s">
        <v>285</v>
      </c>
      <c r="L89" s="5" t="n">
        <v>45567</v>
      </c>
      <c r="M89" s="7" t="n">
        <f aca="false">L89-E89</f>
        <v>30</v>
      </c>
      <c r="N89" s="4" t="n">
        <v>7</v>
      </c>
      <c r="O89" s="4" t="n">
        <v>1</v>
      </c>
      <c r="P89" s="4" t="s">
        <v>68</v>
      </c>
      <c r="Q89" s="4" t="s">
        <v>69</v>
      </c>
      <c r="R89" s="4" t="s">
        <v>42</v>
      </c>
      <c r="S89" s="4" t="s">
        <v>154</v>
      </c>
      <c r="T89" s="4" t="s">
        <v>61</v>
      </c>
      <c r="U89" s="4" t="s">
        <v>45</v>
      </c>
    </row>
    <row r="90" customFormat="false" ht="15" hidden="false" customHeight="false" outlineLevel="0" collapsed="false">
      <c r="A90" s="4" t="s">
        <v>286</v>
      </c>
      <c r="B90" s="4" t="s">
        <v>278</v>
      </c>
      <c r="C90" s="4" t="s">
        <v>279</v>
      </c>
      <c r="D90" s="4" t="s">
        <v>47</v>
      </c>
      <c r="E90" s="5" t="n">
        <v>45258</v>
      </c>
      <c r="F90" s="4" t="s">
        <v>287</v>
      </c>
      <c r="G90" s="4" t="s">
        <v>58</v>
      </c>
      <c r="H90" s="4" t="s">
        <v>260</v>
      </c>
      <c r="I90" s="4" t="s">
        <v>38</v>
      </c>
      <c r="J90" s="6" t="n">
        <v>1825000</v>
      </c>
      <c r="K90" s="4" t="s">
        <v>81</v>
      </c>
      <c r="L90" s="5" t="n">
        <v>45292</v>
      </c>
      <c r="M90" s="7" t="n">
        <f aca="false">L90-E90</f>
        <v>34</v>
      </c>
      <c r="N90" s="4" t="n">
        <v>3</v>
      </c>
      <c r="O90" s="4" t="n">
        <v>5</v>
      </c>
      <c r="P90" s="4" t="s">
        <v>40</v>
      </c>
      <c r="Q90" s="4" t="s">
        <v>60</v>
      </c>
      <c r="R90" s="4" t="s">
        <v>74</v>
      </c>
      <c r="S90" s="4" t="s">
        <v>54</v>
      </c>
      <c r="T90" s="4" t="s">
        <v>44</v>
      </c>
      <c r="U90" s="4" t="s">
        <v>45</v>
      </c>
    </row>
    <row r="91" customFormat="false" ht="15" hidden="false" customHeight="false" outlineLevel="0" collapsed="false">
      <c r="A91" s="4" t="s">
        <v>288</v>
      </c>
      <c r="B91" s="4" t="s">
        <v>278</v>
      </c>
      <c r="C91" s="4" t="s">
        <v>279</v>
      </c>
      <c r="D91" s="4" t="s">
        <v>102</v>
      </c>
      <c r="E91" s="5" t="n">
        <v>45556</v>
      </c>
      <c r="F91" s="4" t="s">
        <v>289</v>
      </c>
      <c r="G91" s="4" t="s">
        <v>58</v>
      </c>
      <c r="H91" s="4" t="s">
        <v>290</v>
      </c>
      <c r="I91" s="4" t="s">
        <v>38</v>
      </c>
      <c r="J91" s="6" t="n">
        <v>7300000</v>
      </c>
      <c r="K91" s="4" t="s">
        <v>97</v>
      </c>
      <c r="L91" s="5" t="n">
        <v>45597</v>
      </c>
      <c r="M91" s="7" t="n">
        <f aca="false">L91-E91</f>
        <v>41</v>
      </c>
      <c r="N91" s="4" t="n">
        <v>8</v>
      </c>
      <c r="O91" s="4" t="n">
        <v>5</v>
      </c>
      <c r="P91" s="4" t="s">
        <v>68</v>
      </c>
      <c r="Q91" s="4" t="s">
        <v>69</v>
      </c>
      <c r="R91" s="4" t="s">
        <v>74</v>
      </c>
      <c r="S91" s="4" t="s">
        <v>43</v>
      </c>
      <c r="T91" s="4" t="s">
        <v>44</v>
      </c>
      <c r="U91" s="4" t="s">
        <v>45</v>
      </c>
    </row>
    <row r="92" customFormat="false" ht="15" hidden="false" customHeight="false" outlineLevel="0" collapsed="false">
      <c r="A92" s="4" t="s">
        <v>291</v>
      </c>
      <c r="B92" s="4" t="s">
        <v>278</v>
      </c>
      <c r="C92" s="4" t="s">
        <v>279</v>
      </c>
      <c r="D92" s="4" t="s">
        <v>56</v>
      </c>
      <c r="E92" s="5" t="n">
        <v>45429</v>
      </c>
      <c r="F92" s="4" t="s">
        <v>192</v>
      </c>
      <c r="G92" s="4" t="s">
        <v>65</v>
      </c>
      <c r="H92" s="4" t="s">
        <v>116</v>
      </c>
      <c r="I92" s="4" t="s">
        <v>36</v>
      </c>
      <c r="J92" s="6" t="n">
        <v>9106000</v>
      </c>
      <c r="K92" s="4" t="s">
        <v>92</v>
      </c>
      <c r="L92" s="5" t="n">
        <v>45641</v>
      </c>
      <c r="M92" s="7" t="n">
        <f aca="false">L92-E92</f>
        <v>212</v>
      </c>
      <c r="N92" s="4" t="n">
        <v>7</v>
      </c>
      <c r="O92" s="4" t="n">
        <v>0</v>
      </c>
      <c r="P92" s="4" t="s">
        <v>40</v>
      </c>
      <c r="Q92" s="4" t="s">
        <v>60</v>
      </c>
      <c r="R92" s="4" t="s">
        <v>74</v>
      </c>
      <c r="S92" s="4" t="s">
        <v>43</v>
      </c>
      <c r="T92" s="4" t="s">
        <v>61</v>
      </c>
      <c r="U92" s="4" t="s">
        <v>45</v>
      </c>
    </row>
    <row r="93" customFormat="false" ht="15" hidden="false" customHeight="false" outlineLevel="0" collapsed="false">
      <c r="A93" s="4" t="s">
        <v>292</v>
      </c>
      <c r="B93" s="4" t="s">
        <v>278</v>
      </c>
      <c r="C93" s="4" t="s">
        <v>279</v>
      </c>
      <c r="D93" s="4" t="s">
        <v>76</v>
      </c>
      <c r="E93" s="5" t="n">
        <v>45228</v>
      </c>
      <c r="F93" s="4" t="s">
        <v>138</v>
      </c>
      <c r="G93" s="4" t="s">
        <v>58</v>
      </c>
      <c r="H93" s="4" t="s">
        <v>246</v>
      </c>
      <c r="I93" s="4" t="s">
        <v>58</v>
      </c>
      <c r="J93" s="6" t="n">
        <v>5105000</v>
      </c>
      <c r="K93" s="4" t="s">
        <v>39</v>
      </c>
      <c r="L93" s="5" t="n">
        <v>45374</v>
      </c>
      <c r="M93" s="7" t="n">
        <f aca="false">L93-E93</f>
        <v>146</v>
      </c>
      <c r="N93" s="4" t="n">
        <v>8</v>
      </c>
      <c r="O93" s="4" t="n">
        <v>6</v>
      </c>
      <c r="P93" s="4" t="s">
        <v>40</v>
      </c>
      <c r="Q93" s="4" t="s">
        <v>60</v>
      </c>
      <c r="R93" s="4" t="s">
        <v>42</v>
      </c>
      <c r="S93" s="4" t="s">
        <v>43</v>
      </c>
      <c r="T93" s="4" t="s">
        <v>44</v>
      </c>
      <c r="U93" s="4" t="s">
        <v>45</v>
      </c>
    </row>
    <row r="94" customFormat="false" ht="15" hidden="false" customHeight="false" outlineLevel="0" collapsed="false">
      <c r="A94" s="4" t="s">
        <v>293</v>
      </c>
      <c r="B94" s="4" t="s">
        <v>278</v>
      </c>
      <c r="C94" s="4" t="s">
        <v>279</v>
      </c>
      <c r="D94" s="4" t="s">
        <v>47</v>
      </c>
      <c r="E94" s="5" t="n">
        <v>45274</v>
      </c>
      <c r="F94" s="4" t="s">
        <v>232</v>
      </c>
      <c r="G94" s="4" t="s">
        <v>67</v>
      </c>
      <c r="H94" s="4" t="s">
        <v>210</v>
      </c>
      <c r="I94" s="4" t="s">
        <v>58</v>
      </c>
      <c r="J94" s="6" t="n">
        <v>4047000</v>
      </c>
      <c r="K94" s="4" t="s">
        <v>97</v>
      </c>
      <c r="L94" s="5" t="n">
        <v>45420</v>
      </c>
      <c r="M94" s="7" t="n">
        <f aca="false">L94-E94</f>
        <v>146</v>
      </c>
      <c r="N94" s="4" t="n">
        <v>3</v>
      </c>
      <c r="O94" s="4" t="n">
        <v>2</v>
      </c>
      <c r="P94" s="4" t="s">
        <v>68</v>
      </c>
      <c r="Q94" s="4" t="s">
        <v>69</v>
      </c>
      <c r="R94" s="4" t="s">
        <v>42</v>
      </c>
      <c r="S94" s="4" t="s">
        <v>154</v>
      </c>
      <c r="T94" s="4" t="s">
        <v>44</v>
      </c>
      <c r="U94" s="4" t="s">
        <v>45</v>
      </c>
    </row>
    <row r="95" customFormat="false" ht="15" hidden="false" customHeight="false" outlineLevel="0" collapsed="false">
      <c r="A95" s="4" t="s">
        <v>294</v>
      </c>
      <c r="B95" s="4" t="s">
        <v>278</v>
      </c>
      <c r="C95" s="4" t="s">
        <v>279</v>
      </c>
      <c r="D95" s="4" t="s">
        <v>63</v>
      </c>
      <c r="E95" s="5" t="n">
        <v>45022</v>
      </c>
      <c r="F95" s="4" t="s">
        <v>241</v>
      </c>
      <c r="G95" s="4" t="s">
        <v>36</v>
      </c>
      <c r="H95" s="4" t="s">
        <v>125</v>
      </c>
      <c r="I95" s="4" t="s">
        <v>67</v>
      </c>
      <c r="J95" s="6" t="n">
        <v>1056000</v>
      </c>
      <c r="K95" s="4" t="s">
        <v>92</v>
      </c>
      <c r="L95" s="5" t="n">
        <v>45162</v>
      </c>
      <c r="M95" s="7" t="n">
        <f aca="false">L95-E95</f>
        <v>140</v>
      </c>
      <c r="N95" s="4" t="n">
        <v>3</v>
      </c>
      <c r="O95" s="4" t="n">
        <v>6</v>
      </c>
      <c r="P95" s="4" t="s">
        <v>68</v>
      </c>
      <c r="Q95" s="4" t="s">
        <v>69</v>
      </c>
      <c r="R95" s="4" t="s">
        <v>53</v>
      </c>
      <c r="S95" s="4" t="s">
        <v>54</v>
      </c>
      <c r="T95" s="4" t="s">
        <v>44</v>
      </c>
      <c r="U95" s="4" t="s">
        <v>45</v>
      </c>
    </row>
    <row r="96" customFormat="false" ht="15" hidden="false" customHeight="false" outlineLevel="0" collapsed="false">
      <c r="A96" s="4" t="s">
        <v>295</v>
      </c>
      <c r="B96" s="4" t="s">
        <v>278</v>
      </c>
      <c r="C96" s="4" t="s">
        <v>279</v>
      </c>
      <c r="D96" s="4" t="s">
        <v>56</v>
      </c>
      <c r="E96" s="5" t="n">
        <v>45608</v>
      </c>
      <c r="F96" s="4" t="s">
        <v>201</v>
      </c>
      <c r="G96" s="4" t="s">
        <v>67</v>
      </c>
      <c r="H96" s="4" t="s">
        <v>37</v>
      </c>
      <c r="I96" s="4" t="s">
        <v>36</v>
      </c>
      <c r="J96" s="6" t="n">
        <v>4287000</v>
      </c>
      <c r="K96" s="4" t="s">
        <v>39</v>
      </c>
      <c r="L96" s="5" t="n">
        <v>45830</v>
      </c>
      <c r="M96" s="7" t="n">
        <f aca="false">L96-E96</f>
        <v>222</v>
      </c>
      <c r="N96" s="4" t="n">
        <v>4</v>
      </c>
      <c r="O96" s="4" t="n">
        <v>0</v>
      </c>
      <c r="P96" s="4" t="s">
        <v>68</v>
      </c>
      <c r="Q96" s="4" t="s">
        <v>69</v>
      </c>
      <c r="R96" s="4" t="s">
        <v>74</v>
      </c>
      <c r="S96" s="4" t="s">
        <v>154</v>
      </c>
      <c r="T96" s="4" t="s">
        <v>44</v>
      </c>
      <c r="U96" s="4" t="s">
        <v>45</v>
      </c>
    </row>
    <row r="97" customFormat="false" ht="15" hidden="false" customHeight="false" outlineLevel="0" collapsed="false">
      <c r="A97" s="4" t="s">
        <v>296</v>
      </c>
      <c r="B97" s="4" t="s">
        <v>278</v>
      </c>
      <c r="C97" s="4" t="s">
        <v>279</v>
      </c>
      <c r="D97" s="4" t="s">
        <v>94</v>
      </c>
      <c r="E97" s="5" t="n">
        <v>45156</v>
      </c>
      <c r="F97" s="4" t="s">
        <v>297</v>
      </c>
      <c r="G97" s="4" t="s">
        <v>50</v>
      </c>
      <c r="H97" s="4" t="s">
        <v>298</v>
      </c>
      <c r="I97" s="4" t="s">
        <v>36</v>
      </c>
      <c r="J97" s="6" t="n">
        <v>3566000</v>
      </c>
      <c r="K97" s="4" t="s">
        <v>59</v>
      </c>
      <c r="L97" s="5" t="n">
        <v>45213</v>
      </c>
      <c r="M97" s="7" t="n">
        <f aca="false">L97-E97</f>
        <v>57</v>
      </c>
      <c r="N97" s="4" t="n">
        <v>2</v>
      </c>
      <c r="O97" s="4" t="n">
        <v>0</v>
      </c>
      <c r="P97" s="4" t="s">
        <v>68</v>
      </c>
      <c r="Q97" s="4" t="s">
        <v>69</v>
      </c>
      <c r="R97" s="4" t="s">
        <v>74</v>
      </c>
      <c r="S97" s="4" t="s">
        <v>154</v>
      </c>
      <c r="T97" s="4" t="s">
        <v>85</v>
      </c>
      <c r="U97" s="4" t="s">
        <v>45</v>
      </c>
    </row>
    <row r="98" customFormat="false" ht="15" hidden="false" customHeight="false" outlineLevel="0" collapsed="false">
      <c r="A98" s="4" t="s">
        <v>299</v>
      </c>
      <c r="B98" s="4" t="s">
        <v>278</v>
      </c>
      <c r="C98" s="4" t="s">
        <v>279</v>
      </c>
      <c r="D98" s="4" t="s">
        <v>56</v>
      </c>
      <c r="E98" s="5" t="n">
        <v>45200</v>
      </c>
      <c r="F98" s="4" t="s">
        <v>78</v>
      </c>
      <c r="G98" s="4" t="s">
        <v>50</v>
      </c>
      <c r="H98" s="4" t="s">
        <v>300</v>
      </c>
      <c r="I98" s="4" t="s">
        <v>36</v>
      </c>
      <c r="J98" s="6" t="n">
        <v>1886000</v>
      </c>
      <c r="K98" s="4" t="s">
        <v>92</v>
      </c>
      <c r="L98" s="5" t="n">
        <v>45237</v>
      </c>
      <c r="M98" s="7" t="n">
        <f aca="false">L98-E98</f>
        <v>37</v>
      </c>
      <c r="N98" s="4" t="n">
        <v>8</v>
      </c>
      <c r="O98" s="4" t="n">
        <v>2</v>
      </c>
      <c r="P98" s="4" t="s">
        <v>68</v>
      </c>
      <c r="Q98" s="4" t="s">
        <v>69</v>
      </c>
      <c r="R98" s="4" t="s">
        <v>42</v>
      </c>
      <c r="S98" s="4" t="s">
        <v>154</v>
      </c>
      <c r="T98" s="4" t="s">
        <v>44</v>
      </c>
      <c r="U98" s="4" t="s">
        <v>45</v>
      </c>
    </row>
    <row r="99" customFormat="false" ht="15" hidden="false" customHeight="false" outlineLevel="0" collapsed="false">
      <c r="A99" s="4" t="s">
        <v>301</v>
      </c>
      <c r="B99" s="4" t="s">
        <v>278</v>
      </c>
      <c r="C99" s="4" t="s">
        <v>279</v>
      </c>
      <c r="D99" s="4" t="s">
        <v>47</v>
      </c>
      <c r="E99" s="5" t="n">
        <v>45575</v>
      </c>
      <c r="F99" s="4" t="s">
        <v>130</v>
      </c>
      <c r="G99" s="4" t="s">
        <v>50</v>
      </c>
      <c r="H99" s="4" t="s">
        <v>133</v>
      </c>
      <c r="I99" s="4" t="s">
        <v>58</v>
      </c>
      <c r="J99" s="6" t="n">
        <v>1008000</v>
      </c>
      <c r="K99" s="4" t="s">
        <v>81</v>
      </c>
      <c r="L99" s="5" t="n">
        <v>45612</v>
      </c>
      <c r="M99" s="7" t="n">
        <f aca="false">L99-E99</f>
        <v>37</v>
      </c>
      <c r="N99" s="4" t="n">
        <v>3</v>
      </c>
      <c r="O99" s="4" t="n">
        <v>3</v>
      </c>
      <c r="P99" s="4" t="s">
        <v>68</v>
      </c>
      <c r="Q99" s="4" t="s">
        <v>69</v>
      </c>
      <c r="R99" s="4" t="s">
        <v>42</v>
      </c>
      <c r="S99" s="4" t="s">
        <v>154</v>
      </c>
      <c r="T99" s="4" t="s">
        <v>44</v>
      </c>
      <c r="U99" s="4" t="s">
        <v>45</v>
      </c>
    </row>
    <row r="100" customFormat="false" ht="15" hidden="false" customHeight="false" outlineLevel="0" collapsed="false">
      <c r="A100" s="4" t="s">
        <v>302</v>
      </c>
      <c r="B100" s="4" t="s">
        <v>278</v>
      </c>
      <c r="C100" s="4" t="s">
        <v>279</v>
      </c>
      <c r="D100" s="4" t="s">
        <v>47</v>
      </c>
      <c r="E100" s="5" t="n">
        <v>45088</v>
      </c>
      <c r="F100" s="4" t="s">
        <v>184</v>
      </c>
      <c r="G100" s="4" t="s">
        <v>38</v>
      </c>
      <c r="H100" s="4" t="s">
        <v>87</v>
      </c>
      <c r="I100" s="4" t="s">
        <v>38</v>
      </c>
      <c r="J100" s="6" t="n">
        <v>6217000</v>
      </c>
      <c r="K100" s="4" t="s">
        <v>81</v>
      </c>
      <c r="L100" s="5" t="n">
        <v>45311</v>
      </c>
      <c r="M100" s="7" t="n">
        <f aca="false">L100-E100</f>
        <v>223</v>
      </c>
      <c r="N100" s="4" t="n">
        <v>5</v>
      </c>
      <c r="O100" s="4" t="n">
        <v>2</v>
      </c>
      <c r="P100" s="4" t="s">
        <v>68</v>
      </c>
      <c r="Q100" s="4" t="s">
        <v>69</v>
      </c>
      <c r="R100" s="4" t="s">
        <v>74</v>
      </c>
      <c r="S100" s="4" t="s">
        <v>43</v>
      </c>
      <c r="T100" s="4" t="s">
        <v>44</v>
      </c>
      <c r="U100" s="4" t="s">
        <v>45</v>
      </c>
    </row>
    <row r="101" customFormat="false" ht="15" hidden="false" customHeight="false" outlineLevel="0" collapsed="false">
      <c r="A101" s="4" t="s">
        <v>303</v>
      </c>
      <c r="B101" s="4" t="s">
        <v>278</v>
      </c>
      <c r="C101" s="4" t="s">
        <v>279</v>
      </c>
      <c r="D101" s="4" t="s">
        <v>47</v>
      </c>
      <c r="E101" s="5" t="n">
        <v>45280</v>
      </c>
      <c r="F101" s="4" t="s">
        <v>304</v>
      </c>
      <c r="G101" s="4" t="s">
        <v>67</v>
      </c>
      <c r="H101" s="4" t="s">
        <v>221</v>
      </c>
      <c r="I101" s="4" t="s">
        <v>38</v>
      </c>
      <c r="J101" s="6" t="n">
        <v>1198000</v>
      </c>
      <c r="K101" s="4" t="s">
        <v>59</v>
      </c>
      <c r="L101" s="5" t="n">
        <v>45420</v>
      </c>
      <c r="M101" s="7" t="n">
        <f aca="false">L101-E101</f>
        <v>140</v>
      </c>
      <c r="N101" s="4" t="n">
        <v>2</v>
      </c>
      <c r="O101" s="4" t="n">
        <v>4</v>
      </c>
      <c r="P101" s="4" t="s">
        <v>68</v>
      </c>
      <c r="Q101" s="4" t="s">
        <v>69</v>
      </c>
      <c r="R101" s="4" t="s">
        <v>42</v>
      </c>
      <c r="S101" s="4" t="s">
        <v>54</v>
      </c>
      <c r="T101" s="4" t="s">
        <v>44</v>
      </c>
      <c r="U101" s="4" t="s">
        <v>45</v>
      </c>
    </row>
    <row r="102" customFormat="false" ht="15" hidden="false" customHeight="false" outlineLevel="0" collapsed="false">
      <c r="A102" s="4" t="s">
        <v>305</v>
      </c>
      <c r="B102" s="4" t="s">
        <v>278</v>
      </c>
      <c r="C102" s="4" t="s">
        <v>279</v>
      </c>
      <c r="D102" s="4" t="s">
        <v>56</v>
      </c>
      <c r="E102" s="5" t="n">
        <v>45235</v>
      </c>
      <c r="F102" s="4" t="s">
        <v>224</v>
      </c>
      <c r="G102" s="4" t="s">
        <v>38</v>
      </c>
      <c r="H102" s="4" t="s">
        <v>251</v>
      </c>
      <c r="I102" s="4" t="s">
        <v>50</v>
      </c>
      <c r="J102" s="6" t="n">
        <v>7697000</v>
      </c>
      <c r="K102" s="4" t="s">
        <v>39</v>
      </c>
      <c r="L102" s="5" t="n">
        <v>45319</v>
      </c>
      <c r="M102" s="7" t="n">
        <f aca="false">L102-E102</f>
        <v>84</v>
      </c>
      <c r="N102" s="4" t="n">
        <v>8</v>
      </c>
      <c r="O102" s="4" t="n">
        <v>2</v>
      </c>
      <c r="P102" s="4" t="s">
        <v>68</v>
      </c>
      <c r="Q102" s="4" t="s">
        <v>69</v>
      </c>
      <c r="R102" s="4" t="s">
        <v>74</v>
      </c>
      <c r="S102" s="4" t="s">
        <v>43</v>
      </c>
      <c r="T102" s="4" t="s">
        <v>85</v>
      </c>
      <c r="U102" s="4" t="s">
        <v>45</v>
      </c>
    </row>
    <row r="103" customFormat="false" ht="15" hidden="false" customHeight="false" outlineLevel="0" collapsed="false">
      <c r="A103" s="4" t="s">
        <v>306</v>
      </c>
      <c r="B103" s="4" t="s">
        <v>278</v>
      </c>
      <c r="C103" s="4" t="s">
        <v>279</v>
      </c>
      <c r="D103" s="4" t="s">
        <v>34</v>
      </c>
      <c r="E103" s="5" t="n">
        <v>45162</v>
      </c>
      <c r="F103" s="4" t="s">
        <v>177</v>
      </c>
      <c r="G103" s="4" t="s">
        <v>65</v>
      </c>
      <c r="H103" s="4" t="s">
        <v>307</v>
      </c>
      <c r="I103" s="4" t="s">
        <v>38</v>
      </c>
      <c r="J103" s="6" t="n">
        <v>5631000</v>
      </c>
      <c r="K103" s="4" t="s">
        <v>285</v>
      </c>
      <c r="L103" s="5" t="n">
        <v>45320</v>
      </c>
      <c r="M103" s="7" t="n">
        <f aca="false">L103-E103</f>
        <v>158</v>
      </c>
      <c r="N103" s="4" t="n">
        <v>7</v>
      </c>
      <c r="O103" s="4" t="n">
        <v>2</v>
      </c>
      <c r="P103" s="4" t="s">
        <v>68</v>
      </c>
      <c r="Q103" s="4" t="s">
        <v>69</v>
      </c>
      <c r="R103" s="4" t="s">
        <v>74</v>
      </c>
      <c r="S103" s="4" t="s">
        <v>43</v>
      </c>
      <c r="T103" s="4" t="s">
        <v>44</v>
      </c>
      <c r="U103" s="4" t="s">
        <v>45</v>
      </c>
    </row>
    <row r="104" customFormat="false" ht="15" hidden="false" customHeight="false" outlineLevel="0" collapsed="false">
      <c r="A104" s="4" t="s">
        <v>308</v>
      </c>
      <c r="B104" s="4" t="s">
        <v>278</v>
      </c>
      <c r="C104" s="4" t="s">
        <v>279</v>
      </c>
      <c r="D104" s="4" t="s">
        <v>47</v>
      </c>
      <c r="E104" s="5" t="n">
        <v>45514</v>
      </c>
      <c r="F104" s="4" t="s">
        <v>309</v>
      </c>
      <c r="G104" s="4" t="s">
        <v>50</v>
      </c>
      <c r="H104" s="4" t="s">
        <v>310</v>
      </c>
      <c r="I104" s="4" t="s">
        <v>38</v>
      </c>
      <c r="J104" s="6" t="n">
        <v>7124000</v>
      </c>
      <c r="K104" s="4" t="s">
        <v>92</v>
      </c>
      <c r="L104" s="5" t="n">
        <v>45647</v>
      </c>
      <c r="M104" s="7" t="n">
        <f aca="false">L104-E104</f>
        <v>133</v>
      </c>
      <c r="N104" s="4" t="n">
        <v>7</v>
      </c>
      <c r="O104" s="4" t="n">
        <v>0</v>
      </c>
      <c r="P104" s="4" t="s">
        <v>40</v>
      </c>
      <c r="Q104" s="4" t="s">
        <v>41</v>
      </c>
      <c r="R104" s="4" t="s">
        <v>53</v>
      </c>
      <c r="S104" s="4" t="s">
        <v>43</v>
      </c>
      <c r="T104" s="4" t="s">
        <v>44</v>
      </c>
      <c r="U104" s="4" t="s">
        <v>45</v>
      </c>
    </row>
    <row r="105" customFormat="false" ht="15" hidden="false" customHeight="false" outlineLevel="0" collapsed="false">
      <c r="A105" s="4" t="s">
        <v>311</v>
      </c>
      <c r="B105" s="4" t="s">
        <v>278</v>
      </c>
      <c r="C105" s="4" t="s">
        <v>279</v>
      </c>
      <c r="D105" s="4" t="s">
        <v>94</v>
      </c>
      <c r="E105" s="5" t="n">
        <v>45176</v>
      </c>
      <c r="F105" s="4" t="s">
        <v>262</v>
      </c>
      <c r="G105" s="4" t="s">
        <v>67</v>
      </c>
      <c r="H105" s="4" t="s">
        <v>156</v>
      </c>
      <c r="I105" s="4" t="s">
        <v>50</v>
      </c>
      <c r="J105" s="6" t="n">
        <v>5930000</v>
      </c>
      <c r="K105" s="4" t="s">
        <v>285</v>
      </c>
      <c r="L105" s="5" t="n">
        <v>45317</v>
      </c>
      <c r="M105" s="7" t="n">
        <f aca="false">L105-E105</f>
        <v>141</v>
      </c>
      <c r="N105" s="4" t="n">
        <v>3</v>
      </c>
      <c r="O105" s="4" t="n">
        <v>3</v>
      </c>
      <c r="P105" s="4" t="s">
        <v>68</v>
      </c>
      <c r="Q105" s="4" t="s">
        <v>69</v>
      </c>
      <c r="R105" s="4" t="s">
        <v>74</v>
      </c>
      <c r="S105" s="4" t="s">
        <v>43</v>
      </c>
      <c r="T105" s="4" t="s">
        <v>61</v>
      </c>
      <c r="U105" s="4" t="s">
        <v>45</v>
      </c>
    </row>
    <row r="106" customFormat="false" ht="15" hidden="false" customHeight="false" outlineLevel="0" collapsed="false">
      <c r="A106" s="4" t="s">
        <v>312</v>
      </c>
      <c r="B106" s="4" t="s">
        <v>278</v>
      </c>
      <c r="C106" s="4" t="s">
        <v>279</v>
      </c>
      <c r="D106" s="4" t="s">
        <v>76</v>
      </c>
      <c r="E106" s="5" t="n">
        <v>45125</v>
      </c>
      <c r="F106" s="4" t="s">
        <v>300</v>
      </c>
      <c r="G106" s="4" t="s">
        <v>50</v>
      </c>
      <c r="H106" s="4" t="s">
        <v>313</v>
      </c>
      <c r="I106" s="4" t="s">
        <v>67</v>
      </c>
      <c r="J106" s="6" t="n">
        <v>3559000</v>
      </c>
      <c r="K106" s="4" t="s">
        <v>39</v>
      </c>
      <c r="L106" s="5" t="n">
        <v>45353</v>
      </c>
      <c r="M106" s="7" t="n">
        <f aca="false">L106-E106</f>
        <v>228</v>
      </c>
      <c r="N106" s="4" t="n">
        <v>4</v>
      </c>
      <c r="O106" s="4" t="n">
        <v>6</v>
      </c>
      <c r="P106" s="4" t="s">
        <v>68</v>
      </c>
      <c r="Q106" s="4" t="s">
        <v>69</v>
      </c>
      <c r="R106" s="4" t="s">
        <v>74</v>
      </c>
      <c r="S106" s="4" t="s">
        <v>54</v>
      </c>
      <c r="T106" s="4" t="s">
        <v>44</v>
      </c>
      <c r="U106" s="4" t="s">
        <v>45</v>
      </c>
    </row>
    <row r="107" customFormat="false" ht="15" hidden="false" customHeight="false" outlineLevel="0" collapsed="false">
      <c r="A107" s="4" t="s">
        <v>314</v>
      </c>
      <c r="B107" s="4" t="s">
        <v>278</v>
      </c>
      <c r="C107" s="4" t="s">
        <v>279</v>
      </c>
      <c r="D107" s="4" t="s">
        <v>47</v>
      </c>
      <c r="E107" s="5" t="n">
        <v>45598</v>
      </c>
      <c r="F107" s="4" t="s">
        <v>310</v>
      </c>
      <c r="G107" s="4" t="s">
        <v>36</v>
      </c>
      <c r="H107" s="4" t="s">
        <v>315</v>
      </c>
      <c r="I107" s="4" t="s">
        <v>36</v>
      </c>
      <c r="J107" s="6" t="n">
        <v>1854000</v>
      </c>
      <c r="K107" s="4" t="s">
        <v>92</v>
      </c>
      <c r="L107" s="5" t="n">
        <v>45647</v>
      </c>
      <c r="M107" s="7" t="n">
        <f aca="false">L107-E107</f>
        <v>49</v>
      </c>
      <c r="N107" s="4" t="n">
        <v>7</v>
      </c>
      <c r="O107" s="4" t="n">
        <v>3</v>
      </c>
      <c r="P107" s="4" t="s">
        <v>68</v>
      </c>
      <c r="Q107" s="4" t="s">
        <v>69</v>
      </c>
      <c r="R107" s="4" t="s">
        <v>74</v>
      </c>
      <c r="S107" s="4" t="s">
        <v>154</v>
      </c>
      <c r="T107" s="4" t="s">
        <v>44</v>
      </c>
      <c r="U107" s="4" t="s">
        <v>45</v>
      </c>
    </row>
    <row r="108" customFormat="false" ht="15" hidden="false" customHeight="false" outlineLevel="0" collapsed="false">
      <c r="A108" s="4" t="s">
        <v>316</v>
      </c>
      <c r="B108" s="4" t="s">
        <v>278</v>
      </c>
      <c r="C108" s="4" t="s">
        <v>279</v>
      </c>
      <c r="D108" s="4" t="s">
        <v>94</v>
      </c>
      <c r="E108" s="5" t="n">
        <v>45081</v>
      </c>
      <c r="F108" s="4" t="s">
        <v>297</v>
      </c>
      <c r="G108" s="4" t="s">
        <v>65</v>
      </c>
      <c r="H108" s="4" t="s">
        <v>248</v>
      </c>
      <c r="I108" s="4" t="s">
        <v>65</v>
      </c>
      <c r="J108" s="6" t="n">
        <v>776000</v>
      </c>
      <c r="K108" s="4" t="s">
        <v>81</v>
      </c>
      <c r="L108" s="5" t="n">
        <v>45223</v>
      </c>
      <c r="M108" s="7" t="n">
        <f aca="false">L108-E108</f>
        <v>142</v>
      </c>
      <c r="N108" s="4" t="n">
        <v>9</v>
      </c>
      <c r="O108" s="4" t="n">
        <v>2</v>
      </c>
      <c r="P108" s="4" t="s">
        <v>40</v>
      </c>
      <c r="Q108" s="4" t="s">
        <v>60</v>
      </c>
      <c r="R108" s="4" t="s">
        <v>42</v>
      </c>
      <c r="S108" s="4" t="s">
        <v>154</v>
      </c>
      <c r="T108" s="4" t="s">
        <v>44</v>
      </c>
      <c r="U108" s="4" t="s">
        <v>45</v>
      </c>
    </row>
    <row r="109" customFormat="false" ht="15" hidden="false" customHeight="false" outlineLevel="0" collapsed="false">
      <c r="A109" s="4" t="s">
        <v>317</v>
      </c>
      <c r="B109" s="4" t="s">
        <v>278</v>
      </c>
      <c r="C109" s="4" t="s">
        <v>279</v>
      </c>
      <c r="D109" s="4" t="s">
        <v>34</v>
      </c>
      <c r="E109" s="5" t="n">
        <v>45304</v>
      </c>
      <c r="F109" s="4" t="s">
        <v>127</v>
      </c>
      <c r="G109" s="4" t="s">
        <v>36</v>
      </c>
      <c r="H109" s="4" t="s">
        <v>181</v>
      </c>
      <c r="I109" s="4" t="s">
        <v>36</v>
      </c>
      <c r="J109" s="6" t="n">
        <v>860000</v>
      </c>
      <c r="K109" s="4" t="s">
        <v>59</v>
      </c>
      <c r="L109" s="5" t="n">
        <v>45407</v>
      </c>
      <c r="M109" s="7" t="n">
        <f aca="false">L109-E109</f>
        <v>103</v>
      </c>
      <c r="N109" s="4" t="n">
        <v>2</v>
      </c>
      <c r="O109" s="4" t="n">
        <v>6</v>
      </c>
      <c r="P109" s="4" t="s">
        <v>68</v>
      </c>
      <c r="Q109" s="4" t="s">
        <v>69</v>
      </c>
      <c r="R109" s="4" t="s">
        <v>53</v>
      </c>
      <c r="S109" s="4" t="s">
        <v>54</v>
      </c>
      <c r="T109" s="4" t="s">
        <v>61</v>
      </c>
      <c r="U109" s="4" t="s">
        <v>45</v>
      </c>
    </row>
    <row r="110" customFormat="false" ht="15" hidden="false" customHeight="false" outlineLevel="0" collapsed="false">
      <c r="A110" s="4" t="s">
        <v>318</v>
      </c>
      <c r="B110" s="4" t="s">
        <v>278</v>
      </c>
      <c r="C110" s="4" t="s">
        <v>279</v>
      </c>
      <c r="D110" s="4" t="s">
        <v>34</v>
      </c>
      <c r="E110" s="5" t="n">
        <v>45594</v>
      </c>
      <c r="F110" s="4" t="s">
        <v>213</v>
      </c>
      <c r="G110" s="4" t="s">
        <v>67</v>
      </c>
      <c r="H110" s="4" t="s">
        <v>64</v>
      </c>
      <c r="I110" s="4" t="s">
        <v>36</v>
      </c>
      <c r="J110" s="6" t="n">
        <v>3283000</v>
      </c>
      <c r="K110" s="4" t="s">
        <v>92</v>
      </c>
      <c r="L110" s="5" t="n">
        <v>45672</v>
      </c>
      <c r="M110" s="7" t="n">
        <f aca="false">L110-E110</f>
        <v>78</v>
      </c>
      <c r="N110" s="4" t="n">
        <v>4</v>
      </c>
      <c r="O110" s="4" t="n">
        <v>1</v>
      </c>
      <c r="P110" s="4" t="s">
        <v>68</v>
      </c>
      <c r="Q110" s="4" t="s">
        <v>69</v>
      </c>
      <c r="R110" s="4" t="s">
        <v>42</v>
      </c>
      <c r="S110" s="4" t="s">
        <v>154</v>
      </c>
      <c r="T110" s="4" t="s">
        <v>44</v>
      </c>
      <c r="U110" s="4" t="s">
        <v>45</v>
      </c>
    </row>
    <row r="111" customFormat="false" ht="15" hidden="false" customHeight="false" outlineLevel="0" collapsed="false">
      <c r="A111" s="4" t="s">
        <v>319</v>
      </c>
      <c r="B111" s="4" t="s">
        <v>278</v>
      </c>
      <c r="C111" s="4" t="s">
        <v>279</v>
      </c>
      <c r="D111" s="4" t="s">
        <v>56</v>
      </c>
      <c r="E111" s="5" t="n">
        <v>45375</v>
      </c>
      <c r="F111" s="4" t="s">
        <v>223</v>
      </c>
      <c r="G111" s="4" t="s">
        <v>38</v>
      </c>
      <c r="H111" s="4" t="s">
        <v>159</v>
      </c>
      <c r="I111" s="4" t="s">
        <v>58</v>
      </c>
      <c r="J111" s="6" t="n">
        <v>5288000</v>
      </c>
      <c r="K111" s="4" t="s">
        <v>59</v>
      </c>
      <c r="L111" s="5" t="n">
        <v>45517</v>
      </c>
      <c r="M111" s="7" t="n">
        <f aca="false">L111-E111</f>
        <v>142</v>
      </c>
      <c r="N111" s="4" t="n">
        <v>2</v>
      </c>
      <c r="O111" s="4" t="n">
        <v>2</v>
      </c>
      <c r="P111" s="4" t="s">
        <v>68</v>
      </c>
      <c r="Q111" s="4" t="s">
        <v>69</v>
      </c>
      <c r="R111" s="4" t="s">
        <v>74</v>
      </c>
      <c r="S111" s="4" t="s">
        <v>43</v>
      </c>
      <c r="T111" s="4" t="s">
        <v>85</v>
      </c>
      <c r="U111" s="4" t="s">
        <v>45</v>
      </c>
    </row>
    <row r="112" customFormat="false" ht="15" hidden="false" customHeight="false" outlineLevel="0" collapsed="false">
      <c r="A112" s="4" t="s">
        <v>320</v>
      </c>
      <c r="B112" s="4" t="s">
        <v>321</v>
      </c>
      <c r="C112" s="4" t="s">
        <v>322</v>
      </c>
      <c r="D112" s="4" t="s">
        <v>56</v>
      </c>
      <c r="E112" s="5" t="n">
        <v>45269</v>
      </c>
      <c r="F112" s="4" t="s">
        <v>262</v>
      </c>
      <c r="G112" s="4" t="s">
        <v>58</v>
      </c>
      <c r="H112" s="4" t="s">
        <v>111</v>
      </c>
      <c r="I112" s="4" t="s">
        <v>50</v>
      </c>
      <c r="J112" s="6" t="n">
        <v>5079000</v>
      </c>
      <c r="K112" s="4" t="s">
        <v>81</v>
      </c>
      <c r="L112" s="5" t="n">
        <v>45315</v>
      </c>
      <c r="M112" s="7" t="n">
        <f aca="false">L112-E112</f>
        <v>46</v>
      </c>
      <c r="N112" s="4" t="n">
        <v>3</v>
      </c>
      <c r="O112" s="4" t="n">
        <v>3</v>
      </c>
      <c r="P112" s="4" t="s">
        <v>68</v>
      </c>
      <c r="Q112" s="4" t="s">
        <v>69</v>
      </c>
      <c r="R112" s="4" t="s">
        <v>74</v>
      </c>
      <c r="S112" s="4" t="s">
        <v>43</v>
      </c>
      <c r="T112" s="4" t="s">
        <v>85</v>
      </c>
      <c r="U112" s="4" t="s">
        <v>45</v>
      </c>
    </row>
    <row r="113" customFormat="false" ht="15" hidden="false" customHeight="false" outlineLevel="0" collapsed="false">
      <c r="A113" s="4" t="s">
        <v>323</v>
      </c>
      <c r="B113" s="4" t="s">
        <v>321</v>
      </c>
      <c r="C113" s="4" t="s">
        <v>322</v>
      </c>
      <c r="D113" s="4" t="s">
        <v>47</v>
      </c>
      <c r="E113" s="5" t="n">
        <v>45071</v>
      </c>
      <c r="F113" s="4" t="s">
        <v>324</v>
      </c>
      <c r="G113" s="4" t="s">
        <v>58</v>
      </c>
      <c r="H113" s="4" t="s">
        <v>325</v>
      </c>
      <c r="I113" s="4" t="s">
        <v>36</v>
      </c>
      <c r="J113" s="6" t="n">
        <v>4791000</v>
      </c>
      <c r="K113" s="4" t="s">
        <v>97</v>
      </c>
      <c r="L113" s="5" t="n">
        <v>45190</v>
      </c>
      <c r="M113" s="7" t="n">
        <f aca="false">L113-E113</f>
        <v>119</v>
      </c>
      <c r="N113" s="4" t="n">
        <v>7</v>
      </c>
      <c r="O113" s="4" t="n">
        <v>5</v>
      </c>
      <c r="P113" s="4" t="s">
        <v>68</v>
      </c>
      <c r="Q113" s="4" t="s">
        <v>69</v>
      </c>
      <c r="R113" s="4" t="s">
        <v>42</v>
      </c>
      <c r="S113" s="4" t="s">
        <v>54</v>
      </c>
      <c r="T113" s="4" t="s">
        <v>85</v>
      </c>
      <c r="U113" s="4" t="s">
        <v>45</v>
      </c>
    </row>
    <row r="114" customFormat="false" ht="15" hidden="false" customHeight="false" outlineLevel="0" collapsed="false">
      <c r="A114" s="4" t="s">
        <v>326</v>
      </c>
      <c r="B114" s="4" t="s">
        <v>321</v>
      </c>
      <c r="C114" s="4" t="s">
        <v>322</v>
      </c>
      <c r="D114" s="4" t="s">
        <v>34</v>
      </c>
      <c r="E114" s="5" t="n">
        <v>45466</v>
      </c>
      <c r="F114" s="4" t="s">
        <v>133</v>
      </c>
      <c r="G114" s="4" t="s">
        <v>50</v>
      </c>
      <c r="H114" s="4" t="s">
        <v>156</v>
      </c>
      <c r="I114" s="4" t="s">
        <v>38</v>
      </c>
      <c r="J114" s="6" t="n">
        <v>9761000</v>
      </c>
      <c r="K114" s="4" t="s">
        <v>39</v>
      </c>
      <c r="L114" s="5" t="n">
        <v>45519</v>
      </c>
      <c r="M114" s="7" t="n">
        <f aca="false">L114-E114</f>
        <v>53</v>
      </c>
      <c r="N114" s="4" t="n">
        <v>5</v>
      </c>
      <c r="O114" s="4" t="n">
        <v>2</v>
      </c>
      <c r="P114" s="4" t="s">
        <v>68</v>
      </c>
      <c r="Q114" s="4" t="s">
        <v>69</v>
      </c>
      <c r="R114" s="4" t="s">
        <v>42</v>
      </c>
      <c r="S114" s="4" t="s">
        <v>43</v>
      </c>
      <c r="T114" s="4" t="s">
        <v>44</v>
      </c>
      <c r="U114" s="4" t="s">
        <v>45</v>
      </c>
    </row>
    <row r="115" customFormat="false" ht="15" hidden="false" customHeight="false" outlineLevel="0" collapsed="false">
      <c r="A115" s="4" t="s">
        <v>327</v>
      </c>
      <c r="B115" s="4" t="s">
        <v>321</v>
      </c>
      <c r="C115" s="4" t="s">
        <v>322</v>
      </c>
      <c r="D115" s="4" t="s">
        <v>102</v>
      </c>
      <c r="E115" s="5" t="n">
        <v>45006</v>
      </c>
      <c r="F115" s="4" t="s">
        <v>113</v>
      </c>
      <c r="G115" s="4" t="s">
        <v>36</v>
      </c>
      <c r="H115" s="4" t="s">
        <v>228</v>
      </c>
      <c r="I115" s="4" t="s">
        <v>67</v>
      </c>
      <c r="J115" s="6" t="n">
        <v>12698000</v>
      </c>
      <c r="K115" s="4" t="s">
        <v>59</v>
      </c>
      <c r="L115" s="5" t="n">
        <v>45111</v>
      </c>
      <c r="M115" s="7" t="n">
        <f aca="false">L115-E115</f>
        <v>105</v>
      </c>
      <c r="N115" s="4" t="n">
        <v>4</v>
      </c>
      <c r="O115" s="4" t="n">
        <v>6</v>
      </c>
      <c r="P115" s="4" t="s">
        <v>40</v>
      </c>
      <c r="Q115" s="4" t="s">
        <v>73</v>
      </c>
      <c r="R115" s="4" t="s">
        <v>53</v>
      </c>
      <c r="S115" s="4" t="s">
        <v>43</v>
      </c>
      <c r="T115" s="4" t="s">
        <v>44</v>
      </c>
      <c r="U115" s="4" t="s">
        <v>45</v>
      </c>
    </row>
    <row r="116" customFormat="false" ht="15" hidden="false" customHeight="false" outlineLevel="0" collapsed="false">
      <c r="A116" s="4" t="s">
        <v>328</v>
      </c>
      <c r="B116" s="4" t="s">
        <v>321</v>
      </c>
      <c r="C116" s="4" t="s">
        <v>322</v>
      </c>
      <c r="D116" s="4" t="s">
        <v>63</v>
      </c>
      <c r="E116" s="5" t="n">
        <v>45093</v>
      </c>
      <c r="F116" s="4" t="s">
        <v>329</v>
      </c>
      <c r="G116" s="4" t="s">
        <v>65</v>
      </c>
      <c r="H116" s="4" t="s">
        <v>159</v>
      </c>
      <c r="I116" s="4" t="s">
        <v>58</v>
      </c>
      <c r="J116" s="6" t="n">
        <v>12504000</v>
      </c>
      <c r="K116" s="4" t="s">
        <v>92</v>
      </c>
      <c r="L116" s="5" t="n">
        <v>45169</v>
      </c>
      <c r="M116" s="7" t="n">
        <f aca="false">L116-E116</f>
        <v>76</v>
      </c>
      <c r="N116" s="4" t="n">
        <v>5</v>
      </c>
      <c r="O116" s="4" t="n">
        <v>6</v>
      </c>
      <c r="P116" s="4" t="s">
        <v>68</v>
      </c>
      <c r="Q116" s="4" t="s">
        <v>69</v>
      </c>
      <c r="R116" s="4" t="s">
        <v>53</v>
      </c>
      <c r="S116" s="4" t="s">
        <v>43</v>
      </c>
      <c r="T116" s="4" t="s">
        <v>61</v>
      </c>
      <c r="U116" s="4" t="s">
        <v>45</v>
      </c>
    </row>
    <row r="117" customFormat="false" ht="15" hidden="false" customHeight="false" outlineLevel="0" collapsed="false">
      <c r="A117" s="4" t="s">
        <v>330</v>
      </c>
      <c r="B117" s="4" t="s">
        <v>321</v>
      </c>
      <c r="C117" s="4" t="s">
        <v>322</v>
      </c>
      <c r="D117" s="4" t="s">
        <v>63</v>
      </c>
      <c r="E117" s="5" t="n">
        <v>45218</v>
      </c>
      <c r="F117" s="4" t="s">
        <v>289</v>
      </c>
      <c r="G117" s="4" t="s">
        <v>50</v>
      </c>
      <c r="H117" s="4" t="s">
        <v>232</v>
      </c>
      <c r="I117" s="4" t="s">
        <v>36</v>
      </c>
      <c r="J117" s="6" t="n">
        <v>11278000</v>
      </c>
      <c r="K117" s="4" t="s">
        <v>97</v>
      </c>
      <c r="L117" s="5" t="n">
        <v>45440</v>
      </c>
      <c r="M117" s="7" t="n">
        <f aca="false">L117-E117</f>
        <v>222</v>
      </c>
      <c r="N117" s="4" t="n">
        <v>9</v>
      </c>
      <c r="O117" s="4" t="n">
        <v>4</v>
      </c>
      <c r="P117" s="4" t="s">
        <v>68</v>
      </c>
      <c r="Q117" s="4" t="s">
        <v>69</v>
      </c>
      <c r="R117" s="4" t="s">
        <v>53</v>
      </c>
      <c r="S117" s="4" t="s">
        <v>43</v>
      </c>
      <c r="T117" s="4" t="s">
        <v>44</v>
      </c>
      <c r="U117" s="4" t="s">
        <v>45</v>
      </c>
    </row>
    <row r="118" customFormat="false" ht="15" hidden="false" customHeight="false" outlineLevel="0" collapsed="false">
      <c r="A118" s="4" t="s">
        <v>331</v>
      </c>
      <c r="B118" s="4" t="s">
        <v>321</v>
      </c>
      <c r="C118" s="4" t="s">
        <v>322</v>
      </c>
      <c r="D118" s="4" t="s">
        <v>94</v>
      </c>
      <c r="E118" s="5" t="n">
        <v>45441</v>
      </c>
      <c r="F118" s="4" t="s">
        <v>192</v>
      </c>
      <c r="G118" s="4" t="s">
        <v>67</v>
      </c>
      <c r="H118" s="4" t="s">
        <v>228</v>
      </c>
      <c r="I118" s="4" t="s">
        <v>38</v>
      </c>
      <c r="J118" s="6" t="n">
        <v>6396000</v>
      </c>
      <c r="K118" s="4" t="s">
        <v>81</v>
      </c>
      <c r="L118" s="5" t="n">
        <v>45606</v>
      </c>
      <c r="M118" s="7" t="n">
        <f aca="false">L118-E118</f>
        <v>165</v>
      </c>
      <c r="N118" s="4" t="n">
        <v>3</v>
      </c>
      <c r="O118" s="4" t="n">
        <v>1</v>
      </c>
      <c r="P118" s="4" t="s">
        <v>40</v>
      </c>
      <c r="Q118" s="4" t="s">
        <v>73</v>
      </c>
      <c r="R118" s="4" t="s">
        <v>42</v>
      </c>
      <c r="S118" s="4" t="s">
        <v>43</v>
      </c>
      <c r="T118" s="4" t="s">
        <v>44</v>
      </c>
      <c r="U118" s="4" t="s">
        <v>45</v>
      </c>
    </row>
    <row r="119" customFormat="false" ht="15" hidden="false" customHeight="false" outlineLevel="0" collapsed="false">
      <c r="A119" s="4" t="s">
        <v>332</v>
      </c>
      <c r="B119" s="4" t="s">
        <v>321</v>
      </c>
      <c r="C119" s="4" t="s">
        <v>322</v>
      </c>
      <c r="D119" s="4" t="s">
        <v>63</v>
      </c>
      <c r="E119" s="5" t="n">
        <v>45012</v>
      </c>
      <c r="F119" s="4" t="s">
        <v>333</v>
      </c>
      <c r="G119" s="4" t="s">
        <v>65</v>
      </c>
      <c r="H119" s="4" t="s">
        <v>334</v>
      </c>
      <c r="I119" s="4" t="s">
        <v>38</v>
      </c>
      <c r="J119" s="6" t="n">
        <v>2573000</v>
      </c>
      <c r="K119" s="4" t="s">
        <v>81</v>
      </c>
      <c r="L119" s="5" t="n">
        <v>45237</v>
      </c>
      <c r="M119" s="7" t="n">
        <f aca="false">L119-E119</f>
        <v>225</v>
      </c>
      <c r="N119" s="4" t="n">
        <v>2</v>
      </c>
      <c r="O119" s="4" t="n">
        <v>4</v>
      </c>
      <c r="P119" s="4" t="s">
        <v>68</v>
      </c>
      <c r="Q119" s="4" t="s">
        <v>69</v>
      </c>
      <c r="R119" s="4" t="s">
        <v>53</v>
      </c>
      <c r="S119" s="4" t="s">
        <v>54</v>
      </c>
      <c r="T119" s="4" t="s">
        <v>44</v>
      </c>
      <c r="U119" s="4" t="s">
        <v>45</v>
      </c>
    </row>
    <row r="120" customFormat="false" ht="15" hidden="false" customHeight="false" outlineLevel="0" collapsed="false">
      <c r="A120" s="4" t="s">
        <v>335</v>
      </c>
      <c r="B120" s="4" t="s">
        <v>321</v>
      </c>
      <c r="C120" s="4" t="s">
        <v>322</v>
      </c>
      <c r="D120" s="4" t="s">
        <v>56</v>
      </c>
      <c r="E120" s="5" t="n">
        <v>45332</v>
      </c>
      <c r="F120" s="4" t="s">
        <v>336</v>
      </c>
      <c r="G120" s="4" t="s">
        <v>67</v>
      </c>
      <c r="H120" s="4" t="s">
        <v>337</v>
      </c>
      <c r="I120" s="4" t="s">
        <v>58</v>
      </c>
      <c r="J120" s="6" t="n">
        <v>5735000</v>
      </c>
      <c r="K120" s="4" t="s">
        <v>92</v>
      </c>
      <c r="L120" s="5" t="n">
        <v>45490</v>
      </c>
      <c r="M120" s="7" t="n">
        <f aca="false">L120-E120</f>
        <v>158</v>
      </c>
      <c r="N120" s="4" t="n">
        <v>7</v>
      </c>
      <c r="O120" s="4" t="n">
        <v>0</v>
      </c>
      <c r="P120" s="4" t="s">
        <v>68</v>
      </c>
      <c r="Q120" s="4" t="s">
        <v>69</v>
      </c>
      <c r="R120" s="4" t="s">
        <v>42</v>
      </c>
      <c r="S120" s="4" t="s">
        <v>43</v>
      </c>
      <c r="T120" s="4" t="s">
        <v>44</v>
      </c>
      <c r="U120" s="4" t="s">
        <v>45</v>
      </c>
    </row>
    <row r="121" customFormat="false" ht="15" hidden="false" customHeight="false" outlineLevel="0" collapsed="false">
      <c r="A121" s="4" t="s">
        <v>338</v>
      </c>
      <c r="B121" s="4" t="s">
        <v>321</v>
      </c>
      <c r="C121" s="4" t="s">
        <v>322</v>
      </c>
      <c r="D121" s="4" t="s">
        <v>63</v>
      </c>
      <c r="E121" s="5" t="n">
        <v>44966</v>
      </c>
      <c r="F121" s="4" t="s">
        <v>103</v>
      </c>
      <c r="G121" s="4" t="s">
        <v>38</v>
      </c>
      <c r="H121" s="4" t="s">
        <v>339</v>
      </c>
      <c r="I121" s="4" t="s">
        <v>65</v>
      </c>
      <c r="J121" s="6" t="n">
        <v>13777000</v>
      </c>
      <c r="K121" s="4" t="s">
        <v>285</v>
      </c>
      <c r="L121" s="5" t="n">
        <v>45069</v>
      </c>
      <c r="M121" s="7" t="n">
        <f aca="false">L121-E121</f>
        <v>103</v>
      </c>
      <c r="N121" s="4" t="n">
        <v>2</v>
      </c>
      <c r="O121" s="4" t="n">
        <v>6</v>
      </c>
      <c r="P121" s="4" t="s">
        <v>68</v>
      </c>
      <c r="Q121" s="4" t="s">
        <v>69</v>
      </c>
      <c r="R121" s="4" t="s">
        <v>53</v>
      </c>
      <c r="S121" s="4" t="s">
        <v>43</v>
      </c>
      <c r="T121" s="4" t="s">
        <v>44</v>
      </c>
      <c r="U121" s="4" t="s">
        <v>45</v>
      </c>
    </row>
    <row r="122" customFormat="false" ht="15" hidden="false" customHeight="false" outlineLevel="0" collapsed="false">
      <c r="A122" s="4" t="s">
        <v>340</v>
      </c>
      <c r="B122" s="4" t="s">
        <v>321</v>
      </c>
      <c r="C122" s="4" t="s">
        <v>322</v>
      </c>
      <c r="D122" s="4" t="s">
        <v>34</v>
      </c>
      <c r="E122" s="5" t="n">
        <v>45080</v>
      </c>
      <c r="F122" s="4" t="s">
        <v>341</v>
      </c>
      <c r="G122" s="4" t="s">
        <v>50</v>
      </c>
      <c r="H122" s="4" t="s">
        <v>342</v>
      </c>
      <c r="I122" s="4" t="s">
        <v>65</v>
      </c>
      <c r="J122" s="6" t="n">
        <v>14115000</v>
      </c>
      <c r="K122" s="4" t="s">
        <v>39</v>
      </c>
      <c r="L122" s="5" t="n">
        <v>45250</v>
      </c>
      <c r="M122" s="7" t="n">
        <f aca="false">L122-E122</f>
        <v>170</v>
      </c>
      <c r="N122" s="4" t="n">
        <v>8</v>
      </c>
      <c r="O122" s="4" t="n">
        <v>3</v>
      </c>
      <c r="P122" s="4" t="s">
        <v>68</v>
      </c>
      <c r="Q122" s="4" t="s">
        <v>69</v>
      </c>
      <c r="R122" s="4" t="s">
        <v>74</v>
      </c>
      <c r="S122" s="4" t="s">
        <v>43</v>
      </c>
      <c r="T122" s="4" t="s">
        <v>61</v>
      </c>
      <c r="U122" s="4" t="s">
        <v>45</v>
      </c>
    </row>
    <row r="123" customFormat="false" ht="15" hidden="false" customHeight="false" outlineLevel="0" collapsed="false">
      <c r="A123" s="4" t="s">
        <v>343</v>
      </c>
      <c r="B123" s="4" t="s">
        <v>321</v>
      </c>
      <c r="C123" s="4" t="s">
        <v>322</v>
      </c>
      <c r="D123" s="4" t="s">
        <v>102</v>
      </c>
      <c r="E123" s="5" t="n">
        <v>45395</v>
      </c>
      <c r="F123" s="4" t="s">
        <v>228</v>
      </c>
      <c r="G123" s="4" t="s">
        <v>36</v>
      </c>
      <c r="H123" s="4" t="s">
        <v>136</v>
      </c>
      <c r="I123" s="4" t="s">
        <v>58</v>
      </c>
      <c r="J123" s="6" t="n">
        <v>1841000</v>
      </c>
      <c r="K123" s="4" t="s">
        <v>39</v>
      </c>
      <c r="L123" s="5" t="n">
        <v>45441</v>
      </c>
      <c r="M123" s="7" t="n">
        <f aca="false">L123-E123</f>
        <v>46</v>
      </c>
      <c r="N123" s="4" t="n">
        <v>6</v>
      </c>
      <c r="O123" s="4" t="n">
        <v>4</v>
      </c>
      <c r="P123" s="4" t="s">
        <v>68</v>
      </c>
      <c r="Q123" s="4" t="s">
        <v>69</v>
      </c>
      <c r="R123" s="4" t="s">
        <v>53</v>
      </c>
      <c r="S123" s="4" t="s">
        <v>54</v>
      </c>
      <c r="T123" s="4" t="s">
        <v>44</v>
      </c>
      <c r="U123" s="4" t="s">
        <v>45</v>
      </c>
    </row>
    <row r="124" customFormat="false" ht="15" hidden="false" customHeight="false" outlineLevel="0" collapsed="false">
      <c r="A124" s="4" t="s">
        <v>344</v>
      </c>
      <c r="B124" s="4" t="s">
        <v>321</v>
      </c>
      <c r="C124" s="4" t="s">
        <v>322</v>
      </c>
      <c r="D124" s="4" t="s">
        <v>76</v>
      </c>
      <c r="E124" s="5" t="n">
        <v>45556</v>
      </c>
      <c r="F124" s="4" t="s">
        <v>345</v>
      </c>
      <c r="G124" s="4" t="s">
        <v>67</v>
      </c>
      <c r="H124" s="4" t="s">
        <v>345</v>
      </c>
      <c r="I124" s="4" t="s">
        <v>36</v>
      </c>
      <c r="J124" s="6" t="n">
        <v>3760000</v>
      </c>
      <c r="K124" s="4" t="s">
        <v>59</v>
      </c>
      <c r="L124" s="5" t="n">
        <v>45676</v>
      </c>
      <c r="M124" s="7" t="n">
        <f aca="false">L124-E124</f>
        <v>120</v>
      </c>
      <c r="N124" s="4" t="n">
        <v>2</v>
      </c>
      <c r="O124" s="4" t="n">
        <v>5</v>
      </c>
      <c r="P124" s="4" t="s">
        <v>68</v>
      </c>
      <c r="Q124" s="4" t="s">
        <v>69</v>
      </c>
      <c r="R124" s="4" t="s">
        <v>53</v>
      </c>
      <c r="S124" s="4" t="s">
        <v>54</v>
      </c>
      <c r="T124" s="4" t="s">
        <v>44</v>
      </c>
      <c r="U124" s="4" t="s">
        <v>45</v>
      </c>
    </row>
    <row r="125" customFormat="false" ht="15" hidden="false" customHeight="false" outlineLevel="0" collapsed="false">
      <c r="A125" s="4" t="s">
        <v>346</v>
      </c>
      <c r="B125" s="4" t="s">
        <v>321</v>
      </c>
      <c r="C125" s="4" t="s">
        <v>322</v>
      </c>
      <c r="D125" s="4" t="s">
        <v>34</v>
      </c>
      <c r="E125" s="5" t="n">
        <v>44971</v>
      </c>
      <c r="F125" s="4" t="s">
        <v>347</v>
      </c>
      <c r="G125" s="4" t="s">
        <v>67</v>
      </c>
      <c r="H125" s="4" t="s">
        <v>104</v>
      </c>
      <c r="I125" s="4" t="s">
        <v>58</v>
      </c>
      <c r="J125" s="6" t="n">
        <v>5926000</v>
      </c>
      <c r="K125" s="4" t="s">
        <v>92</v>
      </c>
      <c r="L125" s="5" t="n">
        <v>45163</v>
      </c>
      <c r="M125" s="7" t="n">
        <f aca="false">L125-E125</f>
        <v>192</v>
      </c>
      <c r="N125" s="4" t="n">
        <v>3</v>
      </c>
      <c r="O125" s="4" t="n">
        <v>5</v>
      </c>
      <c r="P125" s="4" t="s">
        <v>68</v>
      </c>
      <c r="Q125" s="4" t="s">
        <v>69</v>
      </c>
      <c r="R125" s="4" t="s">
        <v>74</v>
      </c>
      <c r="S125" s="4" t="s">
        <v>43</v>
      </c>
      <c r="T125" s="4" t="s">
        <v>85</v>
      </c>
      <c r="U125" s="4" t="s">
        <v>45</v>
      </c>
    </row>
    <row r="126" customFormat="false" ht="15" hidden="false" customHeight="false" outlineLevel="0" collapsed="false">
      <c r="A126" s="4" t="s">
        <v>348</v>
      </c>
      <c r="B126" s="4" t="s">
        <v>321</v>
      </c>
      <c r="C126" s="4" t="s">
        <v>322</v>
      </c>
      <c r="D126" s="4" t="s">
        <v>76</v>
      </c>
      <c r="E126" s="5" t="n">
        <v>45267</v>
      </c>
      <c r="F126" s="4" t="s">
        <v>165</v>
      </c>
      <c r="G126" s="4" t="s">
        <v>38</v>
      </c>
      <c r="H126" s="4" t="s">
        <v>329</v>
      </c>
      <c r="I126" s="4" t="s">
        <v>58</v>
      </c>
      <c r="J126" s="6" t="n">
        <v>856000</v>
      </c>
      <c r="K126" s="4" t="s">
        <v>39</v>
      </c>
      <c r="L126" s="5" t="n">
        <v>45331</v>
      </c>
      <c r="M126" s="7" t="n">
        <f aca="false">L126-E126</f>
        <v>64</v>
      </c>
      <c r="N126" s="4" t="n">
        <v>4</v>
      </c>
      <c r="O126" s="4" t="n">
        <v>6</v>
      </c>
      <c r="P126" s="4" t="s">
        <v>68</v>
      </c>
      <c r="Q126" s="4" t="s">
        <v>69</v>
      </c>
      <c r="R126" s="4" t="s">
        <v>42</v>
      </c>
      <c r="S126" s="4" t="s">
        <v>54</v>
      </c>
      <c r="T126" s="4" t="s">
        <v>85</v>
      </c>
      <c r="U126" s="4" t="s">
        <v>45</v>
      </c>
    </row>
  </sheetData>
  <autoFilter ref="A1:U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8" t="s">
        <v>11</v>
      </c>
      <c r="B1" s="8" t="s">
        <v>349</v>
      </c>
      <c r="C1" s="8" t="s">
        <v>350</v>
      </c>
      <c r="D1" s="8" t="s">
        <v>351</v>
      </c>
      <c r="E1" s="8" t="s">
        <v>352</v>
      </c>
      <c r="F1" s="8" t="s">
        <v>353</v>
      </c>
    </row>
    <row r="2" customFormat="false" ht="15" hidden="false" customHeight="false" outlineLevel="0" collapsed="false">
      <c r="A2" s="2" t="s">
        <v>32</v>
      </c>
      <c r="B2" s="2" t="n">
        <v>30</v>
      </c>
      <c r="C2" s="2" t="n">
        <f aca="false">COUNTIF(Case_Dataset!B:B,A2)</f>
        <v>30</v>
      </c>
      <c r="D2" s="9" t="n">
        <f aca="false">AVERAGEIF(Case_Dataset!B:B,A2,Case_Dataset!J:J)</f>
        <v>23722000</v>
      </c>
      <c r="E2" s="10" t="n">
        <f aca="false">AVERAGEIF(Case_Dataset!B:B,A2,Case_Dataset!M:M)</f>
        <v>128.466666666667</v>
      </c>
      <c r="F2" s="11" t="n">
        <f aca="false">COUNTIFS(Case_Dataset!B:B,A2,Case_Dataset!P:P,"Yes")/C2</f>
        <v>0.533333333333333</v>
      </c>
    </row>
    <row r="3" customFormat="false" ht="15" hidden="false" customHeight="false" outlineLevel="0" collapsed="false">
      <c r="A3" s="2" t="s">
        <v>150</v>
      </c>
      <c r="B3" s="2" t="n">
        <v>30</v>
      </c>
      <c r="C3" s="2" t="n">
        <f aca="false">COUNTIF(Case_Dataset!B:B,A3)</f>
        <v>30</v>
      </c>
      <c r="D3" s="9" t="n">
        <f aca="false">AVERAGEIF(Case_Dataset!B:B,A3,Case_Dataset!J:J)</f>
        <v>1270200</v>
      </c>
      <c r="E3" s="10" t="n">
        <f aca="false">AVERAGEIF(Case_Dataset!B:B,A3,Case_Dataset!M:M)</f>
        <v>84</v>
      </c>
      <c r="F3" s="11" t="n">
        <f aca="false">COUNTIFS(Case_Dataset!B:B,A3,Case_Dataset!P:P,"Yes")/C3</f>
        <v>0.4</v>
      </c>
    </row>
    <row r="4" customFormat="false" ht="15" hidden="false" customHeight="false" outlineLevel="0" collapsed="false">
      <c r="A4" s="2" t="s">
        <v>52</v>
      </c>
      <c r="B4" s="2" t="n">
        <v>25</v>
      </c>
      <c r="C4" s="2" t="n">
        <f aca="false">COUNTIF(Case_Dataset!B:B,A4)</f>
        <v>25</v>
      </c>
      <c r="D4" s="9" t="n">
        <f aca="false">AVERAGEIF(Case_Dataset!B:B,A4,Case_Dataset!J:J)</f>
        <v>16571560</v>
      </c>
      <c r="E4" s="10" t="n">
        <f aca="false">AVERAGEIF(Case_Dataset!B:B,A4,Case_Dataset!M:M)</f>
        <v>147</v>
      </c>
      <c r="F4" s="11" t="n">
        <f aca="false">COUNTIFS(Case_Dataset!B:B,A4,Case_Dataset!P:P,"Yes")/C4</f>
        <v>0.44</v>
      </c>
    </row>
    <row r="5" customFormat="false" ht="15" hidden="false" customHeight="false" outlineLevel="0" collapsed="false">
      <c r="A5" s="2" t="s">
        <v>278</v>
      </c>
      <c r="B5" s="2" t="n">
        <v>25</v>
      </c>
      <c r="C5" s="2" t="n">
        <f aca="false">COUNTIF(Case_Dataset!B:B,A5)</f>
        <v>25</v>
      </c>
      <c r="D5" s="9" t="n">
        <f aca="false">AVERAGEIF(Case_Dataset!B:B,A5,Case_Dataset!J:J)</f>
        <v>4043040</v>
      </c>
      <c r="E5" s="10" t="n">
        <f aca="false">AVERAGEIF(Case_Dataset!B:B,A5,Case_Dataset!M:M)</f>
        <v>117.08</v>
      </c>
      <c r="F5" s="11" t="n">
        <f aca="false">COUNTIFS(Case_Dataset!B:B,A5,Case_Dataset!P:P,"Yes")/C5</f>
        <v>0.24</v>
      </c>
    </row>
    <row r="6" customFormat="false" ht="15" hidden="false" customHeight="false" outlineLevel="0" collapsed="false">
      <c r="A6" s="2" t="s">
        <v>321</v>
      </c>
      <c r="B6" s="2" t="n">
        <v>15</v>
      </c>
      <c r="C6" s="2" t="n">
        <f aca="false">COUNTIF(Case_Dataset!B:B,A6)</f>
        <v>15</v>
      </c>
      <c r="D6" s="9" t="n">
        <f aca="false">AVERAGEIF(Case_Dataset!B:B,A6,Case_Dataset!J:J)</f>
        <v>7406000</v>
      </c>
      <c r="E6" s="10" t="n">
        <f aca="false">AVERAGEIF(Case_Dataset!B:B,A6,Case_Dataset!M:M)</f>
        <v>124.266666666667</v>
      </c>
      <c r="F6" s="11" t="n">
        <f aca="false">COUNTIFS(Case_Dataset!B:B,A6,Case_Dataset!P:P,"Yes")/C6</f>
        <v>0.133333333333333</v>
      </c>
    </row>
    <row r="7" customFormat="false" ht="15" hidden="false" customHeight="false" outlineLevel="0" collapsed="false">
      <c r="A7" s="12" t="s">
        <v>354</v>
      </c>
      <c r="B7" s="12" t="n">
        <f aca="false">SUM(B2:B6)</f>
        <v>125</v>
      </c>
      <c r="C7" s="12" t="n">
        <f aca="false">SUM(C2:C6)</f>
        <v>125</v>
      </c>
      <c r="D7" s="13" t="n">
        <f aca="false">AVERAGE(Case_Dataset!J2:J126)</f>
        <v>11009768</v>
      </c>
      <c r="E7" s="14" t="n">
        <f aca="false">AVERAGE(Case_Dataset!M2:M126)</f>
        <v>118.72</v>
      </c>
      <c r="F7" s="15" t="n">
        <f aca="false">COUNTIF(Case_Dataset!P:P,"Yes")/C7</f>
        <v>0.376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6" t="s">
        <v>11</v>
      </c>
      <c r="B1" s="16" t="s">
        <v>355</v>
      </c>
      <c r="C1" s="16" t="s">
        <v>356</v>
      </c>
      <c r="D1" s="16" t="s">
        <v>357</v>
      </c>
      <c r="E1" s="16" t="s">
        <v>358</v>
      </c>
    </row>
    <row r="2" customFormat="false" ht="15" hidden="false" customHeight="false" outlineLevel="0" collapsed="false">
      <c r="A2" s="2" t="s">
        <v>32</v>
      </c>
      <c r="B2" s="2" t="n">
        <v>30</v>
      </c>
      <c r="C2" s="2" t="s">
        <v>33</v>
      </c>
      <c r="D2" s="2" t="s">
        <v>359</v>
      </c>
      <c r="E2" s="2" t="s">
        <v>360</v>
      </c>
    </row>
    <row r="3" customFormat="false" ht="15" hidden="false" customHeight="false" outlineLevel="0" collapsed="false">
      <c r="A3" s="2" t="s">
        <v>150</v>
      </c>
      <c r="B3" s="2" t="n">
        <v>30</v>
      </c>
      <c r="C3" s="2" t="s">
        <v>151</v>
      </c>
      <c r="D3" s="2" t="s">
        <v>361</v>
      </c>
      <c r="E3" s="2" t="s">
        <v>360</v>
      </c>
    </row>
    <row r="4" customFormat="false" ht="15" hidden="false" customHeight="false" outlineLevel="0" collapsed="false">
      <c r="A4" s="2" t="s">
        <v>52</v>
      </c>
      <c r="B4" s="2" t="n">
        <v>25</v>
      </c>
      <c r="C4" s="2" t="s">
        <v>226</v>
      </c>
      <c r="D4" s="2" t="s">
        <v>362</v>
      </c>
      <c r="E4" s="2" t="s">
        <v>360</v>
      </c>
    </row>
    <row r="5" customFormat="false" ht="15" hidden="false" customHeight="false" outlineLevel="0" collapsed="false">
      <c r="A5" s="2" t="s">
        <v>278</v>
      </c>
      <c r="B5" s="2" t="n">
        <v>25</v>
      </c>
      <c r="C5" s="2" t="s">
        <v>279</v>
      </c>
      <c r="D5" s="2" t="s">
        <v>363</v>
      </c>
      <c r="E5" s="2" t="s">
        <v>360</v>
      </c>
    </row>
    <row r="6" customFormat="false" ht="15" hidden="false" customHeight="false" outlineLevel="0" collapsed="false">
      <c r="A6" s="2" t="s">
        <v>321</v>
      </c>
      <c r="B6" s="2" t="n">
        <v>15</v>
      </c>
      <c r="C6" s="2" t="s">
        <v>322</v>
      </c>
      <c r="D6" s="2" t="s">
        <v>364</v>
      </c>
      <c r="E6" s="2" t="s">
        <v>360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 t="s">
        <v>365</v>
      </c>
      <c r="B8" s="2"/>
      <c r="C8" s="2"/>
      <c r="D8" s="2"/>
      <c r="E8" s="2"/>
    </row>
    <row r="9" customFormat="false" ht="15" hidden="false" customHeight="false" outlineLevel="0" collapsed="false">
      <c r="A9" s="2" t="s">
        <v>366</v>
      </c>
      <c r="B9" s="2"/>
      <c r="C9" s="2"/>
      <c r="D9" s="2" t="s">
        <v>367</v>
      </c>
      <c r="E9" s="2"/>
    </row>
    <row r="10" customFormat="false" ht="15" hidden="false" customHeight="false" outlineLevel="0" collapsed="false">
      <c r="A10" s="2" t="s">
        <v>368</v>
      </c>
      <c r="B10" s="2"/>
      <c r="C10" s="2"/>
      <c r="D10" s="2" t="s">
        <v>369</v>
      </c>
      <c r="E10" s="2"/>
    </row>
    <row r="11" customFormat="false" ht="15" hidden="false" customHeight="false" outlineLevel="0" collapsed="false">
      <c r="A11" s="2" t="s">
        <v>370</v>
      </c>
      <c r="B11" s="2"/>
      <c r="C11" s="2"/>
      <c r="D11" s="2" t="s">
        <v>371</v>
      </c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5" hidden="false" customHeight="false" outlineLevel="0" collapsed="false">
      <c r="A1" s="16" t="s">
        <v>372</v>
      </c>
      <c r="B1" s="16" t="s">
        <v>11</v>
      </c>
      <c r="C1" s="16" t="s">
        <v>13</v>
      </c>
      <c r="D1" s="16" t="s">
        <v>373</v>
      </c>
      <c r="E1" s="16" t="s">
        <v>374</v>
      </c>
      <c r="F1" s="16" t="s">
        <v>375</v>
      </c>
      <c r="G1" s="16" t="s">
        <v>376</v>
      </c>
      <c r="H1" s="16" t="s">
        <v>377</v>
      </c>
      <c r="I1" s="16" t="s">
        <v>378</v>
      </c>
      <c r="J1" s="16" t="s">
        <v>379</v>
      </c>
    </row>
    <row r="2" customFormat="false" ht="15" hidden="false" customHeight="false" outlineLevel="0" collapsed="false">
      <c r="A2" s="17" t="s">
        <v>380</v>
      </c>
      <c r="B2" s="17" t="s">
        <v>32</v>
      </c>
      <c r="C2" s="17" t="s">
        <v>381</v>
      </c>
      <c r="D2" s="17" t="s">
        <v>382</v>
      </c>
      <c r="E2" s="17" t="s">
        <v>383</v>
      </c>
      <c r="F2" s="17" t="s">
        <v>384</v>
      </c>
      <c r="G2" s="17" t="s">
        <v>61</v>
      </c>
      <c r="H2" s="17" t="s">
        <v>385</v>
      </c>
      <c r="I2" s="17" t="s">
        <v>386</v>
      </c>
      <c r="J2" s="17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2026-10-25T20:51:57Z</dcterms:created>
  <dc:creator>openpyxl</dc:creator>
  <dc:description/>
  <dc:language>en-US</dc:language>
  <cp:lastModifiedBy/>
  <dcterms:modified xsi:type="dcterms:W3CDTF">2026-10-25T20:51:57Z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